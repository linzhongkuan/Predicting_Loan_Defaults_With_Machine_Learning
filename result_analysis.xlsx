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ntin/Desktop/Projects/credit_risk_model/"/>
    </mc:Choice>
  </mc:AlternateContent>
  <xr:revisionPtr revIDLastSave="0" documentId="13_ncr:1_{B69FA589-4733-0A40-BB06-0C058002A156}" xr6:coauthVersionLast="47" xr6:coauthVersionMax="47" xr10:uidLastSave="{00000000-0000-0000-0000-000000000000}"/>
  <bookViews>
    <workbookView xWindow="1100" yWindow="780" windowWidth="28040" windowHeight="17440" activeTab="3" xr2:uid="{61FC1A9A-6CB0-D841-9DA7-4D6ECF9C438C}"/>
  </bookViews>
  <sheets>
    <sheet name="raw_data" sheetId="1" r:id="rId1"/>
    <sheet name="cleaned_data" sheetId="2" r:id="rId2"/>
    <sheet name="Detail2" sheetId="5" state="hidden" r:id="rId3"/>
    <sheet name="pivot_table" sheetId="3" r:id="rId4"/>
  </sheets>
  <definedNames>
    <definedName name="_xlnm._FilterDatabase" localSheetId="0" hidden="1">raw_data!$A$1:$E$1</definedName>
    <definedName name="results" localSheetId="0">raw_data!$B$1:$E$401</definedName>
  </definedNames>
  <calcPr calcId="191029"/>
  <pivotCaches>
    <pivotCache cacheId="3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" i="3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I26" i="2"/>
  <c r="I27" i="2"/>
  <c r="H5" i="3"/>
  <c r="H6" i="3"/>
  <c r="H7" i="3"/>
  <c r="H8" i="3"/>
  <c r="H9" i="3"/>
  <c r="H10" i="3"/>
  <c r="H11" i="3"/>
  <c r="H12" i="3"/>
  <c r="H13" i="3"/>
  <c r="H4" i="3"/>
  <c r="G5" i="3"/>
  <c r="G6" i="3"/>
  <c r="G7" i="3"/>
  <c r="G8" i="3"/>
  <c r="G9" i="3"/>
  <c r="G10" i="3"/>
  <c r="G11" i="3"/>
  <c r="G12" i="3"/>
  <c r="G13" i="3"/>
  <c r="G4" i="3"/>
  <c r="K10" i="2"/>
  <c r="K9" i="2"/>
  <c r="K8" i="2"/>
  <c r="K7" i="2"/>
  <c r="K6" i="2"/>
  <c r="K5" i="2"/>
  <c r="K4" i="2"/>
  <c r="K3" i="2"/>
  <c r="K2" i="2"/>
  <c r="G4" i="2" s="1" a="1"/>
  <c r="G4" i="2" s="1"/>
  <c r="A2" i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G401" i="2" l="1" a="1"/>
  <c r="G401" i="2" s="1"/>
  <c r="G393" i="2" a="1"/>
  <c r="G393" i="2" s="1"/>
  <c r="G385" i="2" a="1"/>
  <c r="G385" i="2" s="1"/>
  <c r="G377" i="2" a="1"/>
  <c r="G377" i="2" s="1"/>
  <c r="G369" i="2" a="1"/>
  <c r="G369" i="2" s="1"/>
  <c r="G361" i="2" a="1"/>
  <c r="G361" i="2" s="1"/>
  <c r="G353" i="2" a="1"/>
  <c r="G353" i="2" s="1"/>
  <c r="G345" i="2" a="1"/>
  <c r="G345" i="2" s="1"/>
  <c r="G331" i="2" a="1"/>
  <c r="G331" i="2" s="1"/>
  <c r="G323" i="2" a="1"/>
  <c r="G323" i="2" s="1"/>
  <c r="G318" i="2" a="1"/>
  <c r="G318" i="2" s="1"/>
  <c r="G306" i="2" a="1"/>
  <c r="G306" i="2" s="1"/>
  <c r="G299" i="2" a="1"/>
  <c r="G299" i="2" s="1"/>
  <c r="G286" i="2" a="1"/>
  <c r="G286" i="2" s="1"/>
  <c r="G280" i="2" a="1"/>
  <c r="G280" i="2" s="1"/>
  <c r="G273" i="2" a="1"/>
  <c r="G273" i="2" s="1"/>
  <c r="G260" i="2" a="1"/>
  <c r="G260" i="2" s="1"/>
  <c r="G252" i="2" a="1"/>
  <c r="G252" i="2" s="1"/>
  <c r="G246" i="2" a="1"/>
  <c r="G246" i="2" s="1"/>
  <c r="G239" i="2" a="1"/>
  <c r="G239" i="2" s="1"/>
  <c r="G226" i="2" a="1"/>
  <c r="G226" i="2" s="1"/>
  <c r="G218" i="2" a="1"/>
  <c r="G218" i="2" s="1"/>
  <c r="G212" i="2" a="1"/>
  <c r="G212" i="2" s="1"/>
  <c r="G205" i="2" a="1"/>
  <c r="G205" i="2" s="1"/>
  <c r="G199" i="2" a="1"/>
  <c r="G199" i="2" s="1"/>
  <c r="G186" i="2" a="1"/>
  <c r="G186" i="2" s="1"/>
  <c r="G180" i="2" a="1"/>
  <c r="G180" i="2" s="1"/>
  <c r="G173" i="2" a="1"/>
  <c r="G173" i="2" s="1"/>
  <c r="G165" i="2" a="1"/>
  <c r="G165" i="2" s="1"/>
  <c r="G157" i="2" a="1"/>
  <c r="G157" i="2" s="1"/>
  <c r="G149" i="2" a="1"/>
  <c r="G149" i="2" s="1"/>
  <c r="G142" i="2" a="1"/>
  <c r="G142" i="2" s="1"/>
  <c r="G134" i="2" a="1"/>
  <c r="G134" i="2" s="1"/>
  <c r="G126" i="2" a="1"/>
  <c r="G126" i="2" s="1"/>
  <c r="G118" i="2" a="1"/>
  <c r="G118" i="2" s="1"/>
  <c r="G110" i="2" a="1"/>
  <c r="G110" i="2" s="1"/>
  <c r="G102" i="2" a="1"/>
  <c r="G102" i="2" s="1"/>
  <c r="G94" i="2" a="1"/>
  <c r="G94" i="2" s="1"/>
  <c r="G86" i="2" a="1"/>
  <c r="G86" i="2" s="1"/>
  <c r="G78" i="2" a="1"/>
  <c r="G78" i="2" s="1"/>
  <c r="G70" i="2" a="1"/>
  <c r="G70" i="2" s="1"/>
  <c r="G62" i="2" a="1"/>
  <c r="G62" i="2" s="1"/>
  <c r="G54" i="2" a="1"/>
  <c r="G54" i="2" s="1"/>
  <c r="G47" i="2" a="1"/>
  <c r="G47" i="2" s="1"/>
  <c r="G39" i="2" a="1"/>
  <c r="G39" i="2" s="1"/>
  <c r="G32" i="2" a="1"/>
  <c r="G32" i="2" s="1"/>
  <c r="G25" i="2" a="1"/>
  <c r="G25" i="2" s="1"/>
  <c r="G18" i="2" a="1"/>
  <c r="G18" i="2" s="1"/>
  <c r="G11" i="2" a="1"/>
  <c r="G11" i="2" s="1"/>
  <c r="G3" i="2" a="1"/>
  <c r="G3" i="2" s="1"/>
  <c r="G400" i="2" a="1"/>
  <c r="G400" i="2" s="1"/>
  <c r="G392" i="2" a="1"/>
  <c r="G392" i="2" s="1"/>
  <c r="G384" i="2" a="1"/>
  <c r="G384" i="2" s="1"/>
  <c r="G376" i="2" a="1"/>
  <c r="G376" i="2" s="1"/>
  <c r="G368" i="2" a="1"/>
  <c r="G368" i="2" s="1"/>
  <c r="G360" i="2" a="1"/>
  <c r="G360" i="2" s="1"/>
  <c r="G352" i="2" a="1"/>
  <c r="G352" i="2" s="1"/>
  <c r="G344" i="2" a="1"/>
  <c r="G344" i="2" s="1"/>
  <c r="G337" i="2" a="1"/>
  <c r="G337" i="2" s="1"/>
  <c r="G330" i="2" a="1"/>
  <c r="G330" i="2" s="1"/>
  <c r="G322" i="2" a="1"/>
  <c r="G322" i="2" s="1"/>
  <c r="G317" i="2" a="1"/>
  <c r="G317" i="2" s="1"/>
  <c r="G311" i="2" a="1"/>
  <c r="G311" i="2" s="1"/>
  <c r="G305" i="2" a="1"/>
  <c r="G305" i="2" s="1"/>
  <c r="G298" i="2" a="1"/>
  <c r="G298" i="2" s="1"/>
  <c r="G293" i="2" a="1"/>
  <c r="G293" i="2" s="1"/>
  <c r="G279" i="2" a="1"/>
  <c r="G279" i="2" s="1"/>
  <c r="G272" i="2" a="1"/>
  <c r="G272" i="2" s="1"/>
  <c r="G265" i="2" a="1"/>
  <c r="G265" i="2" s="1"/>
  <c r="G259" i="2" a="1"/>
  <c r="G259" i="2" s="1"/>
  <c r="G251" i="2" a="1"/>
  <c r="G251" i="2" s="1"/>
  <c r="G245" i="2" a="1"/>
  <c r="G245" i="2" s="1"/>
  <c r="G238" i="2" a="1"/>
  <c r="G238" i="2" s="1"/>
  <c r="G232" i="2" a="1"/>
  <c r="G232" i="2" s="1"/>
  <c r="G225" i="2" a="1"/>
  <c r="G225" i="2" s="1"/>
  <c r="G217" i="2" a="1"/>
  <c r="G217" i="2" s="1"/>
  <c r="G211" i="2" a="1"/>
  <c r="G211" i="2" s="1"/>
  <c r="G204" i="2" a="1"/>
  <c r="G204" i="2" s="1"/>
  <c r="G198" i="2" a="1"/>
  <c r="G198" i="2" s="1"/>
  <c r="G192" i="2" a="1"/>
  <c r="G192" i="2" s="1"/>
  <c r="G185" i="2" a="1"/>
  <c r="G185" i="2" s="1"/>
  <c r="G179" i="2" a="1"/>
  <c r="G179" i="2" s="1"/>
  <c r="G172" i="2" a="1"/>
  <c r="G172" i="2" s="1"/>
  <c r="G164" i="2" a="1"/>
  <c r="G164" i="2" s="1"/>
  <c r="G156" i="2" a="1"/>
  <c r="G156" i="2" s="1"/>
  <c r="G148" i="2" a="1"/>
  <c r="G148" i="2" s="1"/>
  <c r="G141" i="2" a="1"/>
  <c r="G141" i="2" s="1"/>
  <c r="G133" i="2" a="1"/>
  <c r="G133" i="2" s="1"/>
  <c r="G125" i="2" a="1"/>
  <c r="G125" i="2" s="1"/>
  <c r="G117" i="2" a="1"/>
  <c r="G117" i="2" s="1"/>
  <c r="G109" i="2" a="1"/>
  <c r="G109" i="2" s="1"/>
  <c r="G101" i="2" a="1"/>
  <c r="G101" i="2" s="1"/>
  <c r="G93" i="2" a="1"/>
  <c r="G93" i="2" s="1"/>
  <c r="G85" i="2" a="1"/>
  <c r="G85" i="2" s="1"/>
  <c r="G77" i="2" a="1"/>
  <c r="G77" i="2" s="1"/>
  <c r="G69" i="2" a="1"/>
  <c r="G69" i="2" s="1"/>
  <c r="G61" i="2" a="1"/>
  <c r="G61" i="2" s="1"/>
  <c r="G53" i="2" a="1"/>
  <c r="G53" i="2" s="1"/>
  <c r="G46" i="2" a="1"/>
  <c r="G46" i="2" s="1"/>
  <c r="G38" i="2" a="1"/>
  <c r="G38" i="2" s="1"/>
  <c r="G24" i="2" a="1"/>
  <c r="G24" i="2" s="1"/>
  <c r="G17" i="2" a="1"/>
  <c r="G17" i="2" s="1"/>
  <c r="G10" i="2" a="1"/>
  <c r="G10" i="2" s="1"/>
  <c r="G2" i="2" a="1"/>
  <c r="G2" i="2" s="1"/>
  <c r="G399" i="2" a="1"/>
  <c r="G399" i="2" s="1"/>
  <c r="G391" i="2" a="1"/>
  <c r="G391" i="2" s="1"/>
  <c r="G383" i="2" a="1"/>
  <c r="G383" i="2" s="1"/>
  <c r="G375" i="2" a="1"/>
  <c r="G375" i="2" s="1"/>
  <c r="G367" i="2" a="1"/>
  <c r="G367" i="2" s="1"/>
  <c r="G359" i="2" a="1"/>
  <c r="G359" i="2" s="1"/>
  <c r="G351" i="2" a="1"/>
  <c r="G351" i="2" s="1"/>
  <c r="G343" i="2" a="1"/>
  <c r="G343" i="2" s="1"/>
  <c r="G336" i="2" a="1"/>
  <c r="G336" i="2" s="1"/>
  <c r="G329" i="2" a="1"/>
  <c r="G329" i="2" s="1"/>
  <c r="G316" i="2" a="1"/>
  <c r="G316" i="2" s="1"/>
  <c r="G310" i="2" a="1"/>
  <c r="G310" i="2" s="1"/>
  <c r="G304" i="2" a="1"/>
  <c r="G304" i="2" s="1"/>
  <c r="G292" i="2" a="1"/>
  <c r="G292" i="2" s="1"/>
  <c r="G285" i="2" a="1"/>
  <c r="G285" i="2" s="1"/>
  <c r="G278" i="2" a="1"/>
  <c r="G278" i="2" s="1"/>
  <c r="G271" i="2" a="1"/>
  <c r="G271" i="2" s="1"/>
  <c r="G258" i="2" a="1"/>
  <c r="G258" i="2" s="1"/>
  <c r="G250" i="2" a="1"/>
  <c r="G250" i="2" s="1"/>
  <c r="G244" i="2" a="1"/>
  <c r="G244" i="2" s="1"/>
  <c r="G237" i="2" a="1"/>
  <c r="G237" i="2" s="1"/>
  <c r="G231" i="2" a="1"/>
  <c r="G231" i="2" s="1"/>
  <c r="G224" i="2" a="1"/>
  <c r="G224" i="2" s="1"/>
  <c r="G210" i="2" a="1"/>
  <c r="G210" i="2" s="1"/>
  <c r="G203" i="2" a="1"/>
  <c r="G203" i="2" s="1"/>
  <c r="G197" i="2" a="1"/>
  <c r="G197" i="2" s="1"/>
  <c r="G178" i="2" a="1"/>
  <c r="G178" i="2" s="1"/>
  <c r="G171" i="2" a="1"/>
  <c r="G171" i="2" s="1"/>
  <c r="G163" i="2" a="1"/>
  <c r="G163" i="2" s="1"/>
  <c r="G155" i="2" a="1"/>
  <c r="G155" i="2" s="1"/>
  <c r="G147" i="2" a="1"/>
  <c r="G147" i="2" s="1"/>
  <c r="G140" i="2" a="1"/>
  <c r="G140" i="2" s="1"/>
  <c r="G132" i="2" a="1"/>
  <c r="G132" i="2" s="1"/>
  <c r="G124" i="2" a="1"/>
  <c r="G124" i="2" s="1"/>
  <c r="G116" i="2" a="1"/>
  <c r="G116" i="2" s="1"/>
  <c r="G108" i="2" a="1"/>
  <c r="G108" i="2" s="1"/>
  <c r="G100" i="2" a="1"/>
  <c r="G100" i="2" s="1"/>
  <c r="G92" i="2" a="1"/>
  <c r="G92" i="2" s="1"/>
  <c r="G84" i="2" a="1"/>
  <c r="G84" i="2" s="1"/>
  <c r="G76" i="2" a="1"/>
  <c r="G76" i="2" s="1"/>
  <c r="G68" i="2" a="1"/>
  <c r="G68" i="2" s="1"/>
  <c r="G60" i="2" a="1"/>
  <c r="G60" i="2" s="1"/>
  <c r="G52" i="2" a="1"/>
  <c r="G52" i="2" s="1"/>
  <c r="G45" i="2" a="1"/>
  <c r="G45" i="2" s="1"/>
  <c r="G37" i="2" a="1"/>
  <c r="G37" i="2" s="1"/>
  <c r="G31" i="2" a="1"/>
  <c r="G31" i="2" s="1"/>
  <c r="G23" i="2" a="1"/>
  <c r="G23" i="2" s="1"/>
  <c r="G16" i="2" a="1"/>
  <c r="G16" i="2" s="1"/>
  <c r="G9" i="2" a="1"/>
  <c r="G9" i="2" s="1"/>
  <c r="G398" i="2" a="1"/>
  <c r="G398" i="2" s="1"/>
  <c r="G390" i="2" a="1"/>
  <c r="G390" i="2" s="1"/>
  <c r="G382" i="2" a="1"/>
  <c r="G382" i="2" s="1"/>
  <c r="G374" i="2" a="1"/>
  <c r="G374" i="2" s="1"/>
  <c r="G366" i="2" a="1"/>
  <c r="G366" i="2" s="1"/>
  <c r="G358" i="2" a="1"/>
  <c r="G358" i="2" s="1"/>
  <c r="G350" i="2" a="1"/>
  <c r="G350" i="2" s="1"/>
  <c r="G342" i="2" a="1"/>
  <c r="G342" i="2" s="1"/>
  <c r="G335" i="2" a="1"/>
  <c r="G335" i="2" s="1"/>
  <c r="G328" i="2" a="1"/>
  <c r="G328" i="2" s="1"/>
  <c r="G321" i="2" a="1"/>
  <c r="G321" i="2" s="1"/>
  <c r="G315" i="2" a="1"/>
  <c r="G315" i="2" s="1"/>
  <c r="G309" i="2" a="1"/>
  <c r="G309" i="2" s="1"/>
  <c r="G297" i="2" a="1"/>
  <c r="G297" i="2" s="1"/>
  <c r="G291" i="2" a="1"/>
  <c r="G291" i="2" s="1"/>
  <c r="G277" i="2" a="1"/>
  <c r="G277" i="2" s="1"/>
  <c r="G270" i="2" a="1"/>
  <c r="G270" i="2" s="1"/>
  <c r="G264" i="2" a="1"/>
  <c r="G264" i="2" s="1"/>
  <c r="G257" i="2" a="1"/>
  <c r="G257" i="2" s="1"/>
  <c r="G249" i="2" a="1"/>
  <c r="G249" i="2" s="1"/>
  <c r="G243" i="2" a="1"/>
  <c r="G243" i="2" s="1"/>
  <c r="G236" i="2" a="1"/>
  <c r="G236" i="2" s="1"/>
  <c r="G230" i="2" a="1"/>
  <c r="G230" i="2" s="1"/>
  <c r="G223" i="2" a="1"/>
  <c r="G223" i="2" s="1"/>
  <c r="G216" i="2" a="1"/>
  <c r="G216" i="2" s="1"/>
  <c r="G202" i="2" a="1"/>
  <c r="G202" i="2" s="1"/>
  <c r="G196" i="2" a="1"/>
  <c r="G196" i="2" s="1"/>
  <c r="G191" i="2" a="1"/>
  <c r="G191" i="2" s="1"/>
  <c r="G184" i="2" a="1"/>
  <c r="G184" i="2" s="1"/>
  <c r="G177" i="2" a="1"/>
  <c r="G177" i="2" s="1"/>
  <c r="G170" i="2" a="1"/>
  <c r="G170" i="2" s="1"/>
  <c r="G162" i="2" a="1"/>
  <c r="G162" i="2" s="1"/>
  <c r="G154" i="2" a="1"/>
  <c r="G154" i="2" s="1"/>
  <c r="G146" i="2" a="1"/>
  <c r="G146" i="2" s="1"/>
  <c r="G139" i="2" a="1"/>
  <c r="G139" i="2" s="1"/>
  <c r="G131" i="2" a="1"/>
  <c r="G131" i="2" s="1"/>
  <c r="G123" i="2" a="1"/>
  <c r="G123" i="2" s="1"/>
  <c r="G115" i="2" a="1"/>
  <c r="G115" i="2" s="1"/>
  <c r="G107" i="2" a="1"/>
  <c r="G107" i="2" s="1"/>
  <c r="G99" i="2" a="1"/>
  <c r="G99" i="2" s="1"/>
  <c r="G91" i="2" a="1"/>
  <c r="G91" i="2" s="1"/>
  <c r="G83" i="2" a="1"/>
  <c r="G83" i="2" s="1"/>
  <c r="G75" i="2" a="1"/>
  <c r="G75" i="2" s="1"/>
  <c r="G67" i="2" a="1"/>
  <c r="G67" i="2" s="1"/>
  <c r="G59" i="2" a="1"/>
  <c r="G59" i="2" s="1"/>
  <c r="G51" i="2" a="1"/>
  <c r="G51" i="2" s="1"/>
  <c r="G44" i="2" a="1"/>
  <c r="G44" i="2" s="1"/>
  <c r="G30" i="2" a="1"/>
  <c r="G30" i="2" s="1"/>
  <c r="G22" i="2" a="1"/>
  <c r="G22" i="2" s="1"/>
  <c r="G8" i="2" a="1"/>
  <c r="G8" i="2" s="1"/>
  <c r="G397" i="2" a="1"/>
  <c r="G397" i="2" s="1"/>
  <c r="G389" i="2" a="1"/>
  <c r="G389" i="2" s="1"/>
  <c r="G381" i="2" a="1"/>
  <c r="G381" i="2" s="1"/>
  <c r="G373" i="2" a="1"/>
  <c r="G373" i="2" s="1"/>
  <c r="G365" i="2" a="1"/>
  <c r="G365" i="2" s="1"/>
  <c r="G357" i="2" a="1"/>
  <c r="G357" i="2" s="1"/>
  <c r="G349" i="2" a="1"/>
  <c r="G349" i="2" s="1"/>
  <c r="G341" i="2" a="1"/>
  <c r="G341" i="2" s="1"/>
  <c r="G334" i="2" a="1"/>
  <c r="G334" i="2" s="1"/>
  <c r="G327" i="2" a="1"/>
  <c r="G327" i="2" s="1"/>
  <c r="G314" i="2" a="1"/>
  <c r="G314" i="2" s="1"/>
  <c r="G303" i="2" a="1"/>
  <c r="G303" i="2" s="1"/>
  <c r="G290" i="2" a="1"/>
  <c r="G290" i="2" s="1"/>
  <c r="G284" i="2" a="1"/>
  <c r="G284" i="2" s="1"/>
  <c r="G276" i="2" a="1"/>
  <c r="G276" i="2" s="1"/>
  <c r="G269" i="2" a="1"/>
  <c r="G269" i="2" s="1"/>
  <c r="G263" i="2" a="1"/>
  <c r="G263" i="2" s="1"/>
  <c r="G256" i="2" a="1"/>
  <c r="G256" i="2" s="1"/>
  <c r="G242" i="2" a="1"/>
  <c r="G242" i="2" s="1"/>
  <c r="G235" i="2" a="1"/>
  <c r="G235" i="2" s="1"/>
  <c r="G222" i="2" a="1"/>
  <c r="G222" i="2" s="1"/>
  <c r="G209" i="2" a="1"/>
  <c r="G209" i="2" s="1"/>
  <c r="G195" i="2" a="1"/>
  <c r="G195" i="2" s="1"/>
  <c r="G190" i="2" a="1"/>
  <c r="G190" i="2" s="1"/>
  <c r="G176" i="2" a="1"/>
  <c r="G176" i="2" s="1"/>
  <c r="G169" i="2" a="1"/>
  <c r="G169" i="2" s="1"/>
  <c r="G161" i="2" a="1"/>
  <c r="G161" i="2" s="1"/>
  <c r="G153" i="2" a="1"/>
  <c r="G153" i="2" s="1"/>
  <c r="G138" i="2" a="1"/>
  <c r="G138" i="2" s="1"/>
  <c r="G130" i="2" a="1"/>
  <c r="G130" i="2" s="1"/>
  <c r="G122" i="2" a="1"/>
  <c r="G122" i="2" s="1"/>
  <c r="G114" i="2" a="1"/>
  <c r="G114" i="2" s="1"/>
  <c r="G106" i="2" a="1"/>
  <c r="G106" i="2" s="1"/>
  <c r="G98" i="2" a="1"/>
  <c r="G98" i="2" s="1"/>
  <c r="G90" i="2" a="1"/>
  <c r="G90" i="2" s="1"/>
  <c r="G82" i="2" a="1"/>
  <c r="G82" i="2" s="1"/>
  <c r="G74" i="2" a="1"/>
  <c r="G74" i="2" s="1"/>
  <c r="G66" i="2" a="1"/>
  <c r="G66" i="2" s="1"/>
  <c r="G58" i="2" a="1"/>
  <c r="G58" i="2" s="1"/>
  <c r="G50" i="2" a="1"/>
  <c r="G50" i="2" s="1"/>
  <c r="G43" i="2" a="1"/>
  <c r="G43" i="2" s="1"/>
  <c r="G36" i="2" a="1"/>
  <c r="G36" i="2" s="1"/>
  <c r="G29" i="2" a="1"/>
  <c r="G29" i="2" s="1"/>
  <c r="G21" i="2" a="1"/>
  <c r="G21" i="2" s="1"/>
  <c r="G15" i="2" a="1"/>
  <c r="G15" i="2" s="1"/>
  <c r="G7" i="2" a="1"/>
  <c r="G7" i="2" s="1"/>
  <c r="G396" i="2" a="1"/>
  <c r="G396" i="2" s="1"/>
  <c r="G388" i="2" a="1"/>
  <c r="G388" i="2" s="1"/>
  <c r="G380" i="2" a="1"/>
  <c r="G380" i="2" s="1"/>
  <c r="G372" i="2" a="1"/>
  <c r="G372" i="2" s="1"/>
  <c r="G364" i="2" a="1"/>
  <c r="G364" i="2" s="1"/>
  <c r="G356" i="2" a="1"/>
  <c r="G356" i="2" s="1"/>
  <c r="G348" i="2" a="1"/>
  <c r="G348" i="2" s="1"/>
  <c r="G340" i="2" a="1"/>
  <c r="G340" i="2" s="1"/>
  <c r="G333" i="2" a="1"/>
  <c r="G333" i="2" s="1"/>
  <c r="G326" i="2" a="1"/>
  <c r="G326" i="2" s="1"/>
  <c r="G320" i="2" a="1"/>
  <c r="G320" i="2" s="1"/>
  <c r="G313" i="2" a="1"/>
  <c r="G313" i="2" s="1"/>
  <c r="G308" i="2" a="1"/>
  <c r="G308" i="2" s="1"/>
  <c r="G302" i="2" a="1"/>
  <c r="G302" i="2" s="1"/>
  <c r="G296" i="2" a="1"/>
  <c r="G296" i="2" s="1"/>
  <c r="G289" i="2" a="1"/>
  <c r="G289" i="2" s="1"/>
  <c r="G283" i="2" a="1"/>
  <c r="G283" i="2" s="1"/>
  <c r="G275" i="2" a="1"/>
  <c r="G275" i="2" s="1"/>
  <c r="G268" i="2" a="1"/>
  <c r="G268" i="2" s="1"/>
  <c r="G262" i="2" a="1"/>
  <c r="G262" i="2" s="1"/>
  <c r="G255" i="2" a="1"/>
  <c r="G255" i="2" s="1"/>
  <c r="G248" i="2" a="1"/>
  <c r="G248" i="2" s="1"/>
  <c r="G234" i="2" a="1"/>
  <c r="G234" i="2" s="1"/>
  <c r="G229" i="2" a="1"/>
  <c r="G229" i="2" s="1"/>
  <c r="G221" i="2" a="1"/>
  <c r="G221" i="2" s="1"/>
  <c r="G215" i="2" a="1"/>
  <c r="G215" i="2" s="1"/>
  <c r="G208" i="2" a="1"/>
  <c r="G208" i="2" s="1"/>
  <c r="G201" i="2" a="1"/>
  <c r="G201" i="2" s="1"/>
  <c r="G194" i="2" a="1"/>
  <c r="G194" i="2" s="1"/>
  <c r="G189" i="2" a="1"/>
  <c r="G189" i="2" s="1"/>
  <c r="G183" i="2" a="1"/>
  <c r="G183" i="2" s="1"/>
  <c r="G168" i="2" a="1"/>
  <c r="G168" i="2" s="1"/>
  <c r="G160" i="2" a="1"/>
  <c r="G160" i="2" s="1"/>
  <c r="G152" i="2" a="1"/>
  <c r="G152" i="2" s="1"/>
  <c r="G145" i="2" a="1"/>
  <c r="G145" i="2" s="1"/>
  <c r="G137" i="2" a="1"/>
  <c r="G137" i="2" s="1"/>
  <c r="G129" i="2" a="1"/>
  <c r="G129" i="2" s="1"/>
  <c r="G121" i="2" a="1"/>
  <c r="G121" i="2" s="1"/>
  <c r="G113" i="2" a="1"/>
  <c r="G113" i="2" s="1"/>
  <c r="G105" i="2" a="1"/>
  <c r="G105" i="2" s="1"/>
  <c r="G97" i="2" a="1"/>
  <c r="G97" i="2" s="1"/>
  <c r="G89" i="2" a="1"/>
  <c r="G89" i="2" s="1"/>
  <c r="G81" i="2" a="1"/>
  <c r="G81" i="2" s="1"/>
  <c r="G73" i="2" a="1"/>
  <c r="G73" i="2" s="1"/>
  <c r="G65" i="2" a="1"/>
  <c r="G65" i="2" s="1"/>
  <c r="G57" i="2" a="1"/>
  <c r="G57" i="2" s="1"/>
  <c r="G49" i="2" a="1"/>
  <c r="G49" i="2" s="1"/>
  <c r="G42" i="2" a="1"/>
  <c r="G42" i="2" s="1"/>
  <c r="G35" i="2" a="1"/>
  <c r="G35" i="2" s="1"/>
  <c r="G28" i="2" a="1"/>
  <c r="G28" i="2" s="1"/>
  <c r="G14" i="2" a="1"/>
  <c r="G14" i="2" s="1"/>
  <c r="G6" i="2" a="1"/>
  <c r="G6" i="2" s="1"/>
  <c r="G395" i="2" a="1"/>
  <c r="G395" i="2" s="1"/>
  <c r="G387" i="2" a="1"/>
  <c r="G387" i="2" s="1"/>
  <c r="G379" i="2" a="1"/>
  <c r="G379" i="2" s="1"/>
  <c r="G371" i="2" a="1"/>
  <c r="G371" i="2" s="1"/>
  <c r="G363" i="2" a="1"/>
  <c r="G363" i="2" s="1"/>
  <c r="G355" i="2" a="1"/>
  <c r="G355" i="2" s="1"/>
  <c r="G347" i="2" a="1"/>
  <c r="G347" i="2" s="1"/>
  <c r="G339" i="2" a="1"/>
  <c r="G339" i="2" s="1"/>
  <c r="G332" i="2" a="1"/>
  <c r="G332" i="2" s="1"/>
  <c r="G325" i="2" a="1"/>
  <c r="G325" i="2" s="1"/>
  <c r="G301" i="2" a="1"/>
  <c r="G301" i="2" s="1"/>
  <c r="G295" i="2" a="1"/>
  <c r="G295" i="2" s="1"/>
  <c r="G288" i="2" a="1"/>
  <c r="G288" i="2" s="1"/>
  <c r="G282" i="2" a="1"/>
  <c r="G282" i="2" s="1"/>
  <c r="G274" i="2" a="1"/>
  <c r="G274" i="2" s="1"/>
  <c r="G267" i="2" a="1"/>
  <c r="G267" i="2" s="1"/>
  <c r="G254" i="2" a="1"/>
  <c r="G254" i="2" s="1"/>
  <c r="G241" i="2" a="1"/>
  <c r="G241" i="2" s="1"/>
  <c r="G228" i="2" a="1"/>
  <c r="G228" i="2" s="1"/>
  <c r="G220" i="2" a="1"/>
  <c r="G220" i="2" s="1"/>
  <c r="G214" i="2" a="1"/>
  <c r="G214" i="2" s="1"/>
  <c r="G207" i="2" a="1"/>
  <c r="G207" i="2" s="1"/>
  <c r="G188" i="2" a="1"/>
  <c r="G188" i="2" s="1"/>
  <c r="G182" i="2" a="1"/>
  <c r="G182" i="2" s="1"/>
  <c r="G175" i="2" a="1"/>
  <c r="G175" i="2" s="1"/>
  <c r="G167" i="2" a="1"/>
  <c r="G167" i="2" s="1"/>
  <c r="G159" i="2" a="1"/>
  <c r="G159" i="2" s="1"/>
  <c r="G151" i="2" a="1"/>
  <c r="G151" i="2" s="1"/>
  <c r="G144" i="2" a="1"/>
  <c r="G144" i="2" s="1"/>
  <c r="G136" i="2" a="1"/>
  <c r="G136" i="2" s="1"/>
  <c r="G128" i="2" a="1"/>
  <c r="G128" i="2" s="1"/>
  <c r="G120" i="2" a="1"/>
  <c r="G120" i="2" s="1"/>
  <c r="G112" i="2" a="1"/>
  <c r="G112" i="2" s="1"/>
  <c r="G104" i="2" a="1"/>
  <c r="G104" i="2" s="1"/>
  <c r="G96" i="2" a="1"/>
  <c r="G96" i="2" s="1"/>
  <c r="G88" i="2" a="1"/>
  <c r="G88" i="2" s="1"/>
  <c r="G80" i="2" a="1"/>
  <c r="G80" i="2" s="1"/>
  <c r="G72" i="2" a="1"/>
  <c r="G72" i="2" s="1"/>
  <c r="G64" i="2" a="1"/>
  <c r="G64" i="2" s="1"/>
  <c r="G56" i="2" a="1"/>
  <c r="G56" i="2" s="1"/>
  <c r="G48" i="2" a="1"/>
  <c r="G48" i="2" s="1"/>
  <c r="G41" i="2" a="1"/>
  <c r="G41" i="2" s="1"/>
  <c r="G34" i="2" a="1"/>
  <c r="G34" i="2" s="1"/>
  <c r="G27" i="2" a="1"/>
  <c r="G27" i="2" s="1"/>
  <c r="G20" i="2" a="1"/>
  <c r="G20" i="2" s="1"/>
  <c r="G13" i="2" a="1"/>
  <c r="G13" i="2" s="1"/>
  <c r="G5" i="2" a="1"/>
  <c r="G5" i="2" s="1"/>
  <c r="G394" i="2" a="1"/>
  <c r="G394" i="2" s="1"/>
  <c r="G386" i="2" a="1"/>
  <c r="G386" i="2" s="1"/>
  <c r="G378" i="2" a="1"/>
  <c r="G378" i="2" s="1"/>
  <c r="G370" i="2" a="1"/>
  <c r="G370" i="2" s="1"/>
  <c r="G362" i="2" a="1"/>
  <c r="G362" i="2" s="1"/>
  <c r="G354" i="2" a="1"/>
  <c r="G354" i="2" s="1"/>
  <c r="G346" i="2" a="1"/>
  <c r="G346" i="2" s="1"/>
  <c r="G338" i="2" a="1"/>
  <c r="G338" i="2" s="1"/>
  <c r="G324" i="2" a="1"/>
  <c r="G324" i="2" s="1"/>
  <c r="G319" i="2" a="1"/>
  <c r="G319" i="2" s="1"/>
  <c r="G312" i="2" a="1"/>
  <c r="G312" i="2" s="1"/>
  <c r="G307" i="2" a="1"/>
  <c r="G307" i="2" s="1"/>
  <c r="G300" i="2" a="1"/>
  <c r="G300" i="2" s="1"/>
  <c r="G294" i="2" a="1"/>
  <c r="G294" i="2" s="1"/>
  <c r="G287" i="2" a="1"/>
  <c r="G287" i="2" s="1"/>
  <c r="G281" i="2" a="1"/>
  <c r="G281" i="2" s="1"/>
  <c r="G266" i="2" a="1"/>
  <c r="G266" i="2" s="1"/>
  <c r="G261" i="2" a="1"/>
  <c r="G261" i="2" s="1"/>
  <c r="G253" i="2" a="1"/>
  <c r="G253" i="2" s="1"/>
  <c r="G247" i="2" a="1"/>
  <c r="G247" i="2" s="1"/>
  <c r="G240" i="2" a="1"/>
  <c r="G240" i="2" s="1"/>
  <c r="G233" i="2" a="1"/>
  <c r="G233" i="2" s="1"/>
  <c r="G227" i="2" a="1"/>
  <c r="G227" i="2" s="1"/>
  <c r="G219" i="2" a="1"/>
  <c r="G219" i="2" s="1"/>
  <c r="G213" i="2" a="1"/>
  <c r="G213" i="2" s="1"/>
  <c r="G206" i="2" a="1"/>
  <c r="G206" i="2" s="1"/>
  <c r="G200" i="2" a="1"/>
  <c r="G200" i="2" s="1"/>
  <c r="G193" i="2" a="1"/>
  <c r="G193" i="2" s="1"/>
  <c r="G187" i="2" a="1"/>
  <c r="G187" i="2" s="1"/>
  <c r="G181" i="2" a="1"/>
  <c r="G181" i="2" s="1"/>
  <c r="G174" i="2" a="1"/>
  <c r="G174" i="2" s="1"/>
  <c r="G166" i="2" a="1"/>
  <c r="G166" i="2" s="1"/>
  <c r="G158" i="2" a="1"/>
  <c r="G158" i="2" s="1"/>
  <c r="G150" i="2" a="1"/>
  <c r="G150" i="2" s="1"/>
  <c r="G143" i="2" a="1"/>
  <c r="G143" i="2" s="1"/>
  <c r="G135" i="2" a="1"/>
  <c r="G135" i="2" s="1"/>
  <c r="G127" i="2" a="1"/>
  <c r="G127" i="2" s="1"/>
  <c r="G119" i="2" a="1"/>
  <c r="G119" i="2" s="1"/>
  <c r="G111" i="2" a="1"/>
  <c r="G111" i="2" s="1"/>
  <c r="G103" i="2" a="1"/>
  <c r="G103" i="2" s="1"/>
  <c r="G95" i="2" a="1"/>
  <c r="G95" i="2" s="1"/>
  <c r="G87" i="2" a="1"/>
  <c r="G87" i="2" s="1"/>
  <c r="G79" i="2" a="1"/>
  <c r="G79" i="2" s="1"/>
  <c r="G71" i="2" a="1"/>
  <c r="G71" i="2" s="1"/>
  <c r="G63" i="2" a="1"/>
  <c r="G63" i="2" s="1"/>
  <c r="G55" i="2" a="1"/>
  <c r="G55" i="2" s="1"/>
  <c r="G40" i="2" a="1"/>
  <c r="G40" i="2" s="1"/>
  <c r="G33" i="2" a="1"/>
  <c r="G33" i="2" s="1"/>
  <c r="G26" i="2" a="1"/>
  <c r="G26" i="2" s="1"/>
  <c r="G19" i="2" a="1"/>
  <c r="G19" i="2" s="1"/>
  <c r="G12" i="2" a="1"/>
  <c r="G12" i="2" s="1"/>
  <c r="I8" i="3"/>
  <c r="I4" i="3"/>
  <c r="I6" i="3"/>
  <c r="I9" i="3"/>
  <c r="I7" i="3"/>
  <c r="J6" i="3"/>
  <c r="L6" i="3" s="1"/>
  <c r="I12" i="3"/>
  <c r="I5" i="3"/>
  <c r="I11" i="3"/>
  <c r="I10" i="3"/>
  <c r="I13" i="3"/>
  <c r="J5" i="3"/>
  <c r="L5" i="3" s="1"/>
  <c r="L16" i="3" s="1"/>
  <c r="J7" i="3"/>
  <c r="L7" i="3" s="1"/>
  <c r="J13" i="3"/>
  <c r="J12" i="3"/>
  <c r="J11" i="3"/>
  <c r="L11" i="3" s="1"/>
  <c r="J8" i="3"/>
  <c r="L8" i="3" s="1"/>
  <c r="J10" i="3"/>
  <c r="L10" i="3" s="1"/>
  <c r="J4" i="3"/>
  <c r="L4" i="3" s="1"/>
  <c r="J9" i="3"/>
  <c r="L9" i="3" s="1"/>
  <c r="K12" i="3" l="1"/>
  <c r="L12" i="3"/>
  <c r="K13" i="3"/>
  <c r="L13" i="3"/>
  <c r="K11" i="3"/>
  <c r="K8" i="3"/>
  <c r="K9" i="3"/>
  <c r="K6" i="3"/>
  <c r="K7" i="3"/>
  <c r="K5" i="3"/>
  <c r="K4" i="3"/>
  <c r="K1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9AAA4B1-3FBF-7941-859B-50199E752304}" name="results" type="6" refreshedVersion="8" background="1" saveData="1">
    <textPr sourceFile="/Users/tintin/Desktop/Projects/credit_risk_model/model/results.csv" comma="1">
      <textFields count="4"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<sst xmlns="http://schemas.openxmlformats.org/spreadsheetml/2006/main" count="37" uniqueCount="26">
  <si>
    <t>actual</t>
  </si>
  <si>
    <t>predicted</t>
  </si>
  <si>
    <t>index</t>
  </si>
  <si>
    <t>Probability_Safe</t>
  </si>
  <si>
    <t>Proabability_Default</t>
  </si>
  <si>
    <t>Decile</t>
  </si>
  <si>
    <t>Probability_Default</t>
  </si>
  <si>
    <t>Grand Total</t>
  </si>
  <si>
    <t>Count of Decile</t>
  </si>
  <si>
    <t>Actual Outcome</t>
  </si>
  <si>
    <t>Predicted Outcome</t>
  </si>
  <si>
    <t>Number of Actual Defaults</t>
  </si>
  <si>
    <t>Min of Probability_Default</t>
  </si>
  <si>
    <t>Number of Safe Loans</t>
  </si>
  <si>
    <t>Cumulative Safe Loans</t>
  </si>
  <si>
    <t>Cumulative Defaults</t>
  </si>
  <si>
    <t>Cumulative % of Safe Loans</t>
  </si>
  <si>
    <t>Cumulative % of Defaults</t>
  </si>
  <si>
    <t>Details for Count of Decile - Decile: 2</t>
  </si>
  <si>
    <t>True Positive</t>
  </si>
  <si>
    <t>Total Profit</t>
  </si>
  <si>
    <t>Assumptions</t>
  </si>
  <si>
    <t>Loss from Default</t>
  </si>
  <si>
    <t>Profit from Safe Loan</t>
  </si>
  <si>
    <t>Maximum Profit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</si>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</sst>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2" fillId="0" borderId="0" xfId="0" applyNumberFormat="1" applyFont="1"/>
    <xf numFmtId="1" fontId="0" fillId="0" borderId="0" xfId="0" applyNumberFormat="1"/>
    <xf numFmtId="164" fontId="0" fillId="0" borderId="0" xfId="1" applyNumberFormat="1" applyFont="1"/>
    <xf numFmtId="164" fontId="0" fillId="2" borderId="0" xfId="1" applyNumberFormat="1" applyFont="1" applyFill="1"/>
    <xf numFmtId="0" fontId="0" fillId="4" borderId="0" xfId="0" applyFill="1"/>
    <xf numFmtId="10" fontId="0" fillId="2" borderId="0" xfId="0" applyNumberFormat="1" applyFill="1"/>
    <xf numFmtId="0" fontId="2" fillId="2" borderId="0" xfId="0" applyFont="1" applyFill="1"/>
    <xf numFmtId="10" fontId="2" fillId="5" borderId="0" xfId="0" applyNumberFormat="1" applyFont="1" applyFill="1"/>
    <xf numFmtId="164" fontId="2" fillId="2" borderId="0" xfId="0" applyNumberFormat="1" applyFont="1" applyFill="1"/>
    <xf numFmtId="0" fontId="2" fillId="5" borderId="0" xfId="0" applyFont="1" applyFill="1"/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</cellXfs>
  <cellStyles count="2">
    <cellStyle name="Normal" xfId="0" builtinId="0"/>
    <cellStyle name="Percent" xfId="1" builtinId="5"/>
  </cellStyles>
  <dxfs count="11">
    <dxf>
      <numFmt numFmtId="14" formatCode="0.00%"/>
    </dxf>
    <dxf>
      <numFmt numFmtId="0" formatCode="General"/>
    </dxf>
    <dxf>
      <numFmt numFmtId="1" formatCode="0"/>
    </dxf>
    <dxf>
      <numFmt numFmtId="14" formatCode="0.00%"/>
    </dxf>
    <dxf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ill>
        <patternFill>
          <bgColor theme="7"/>
        </patternFill>
      </fill>
    </dxf>
    <dxf>
      <fill>
        <patternFill patternType="solid">
          <bgColor theme="7" tint="0.39997558519241921"/>
        </patternFill>
      </fill>
    </dxf>
  </dxfs>
  <tableStyles count="0" defaultTableStyle="TableStyleMedium2" defaultPivotStyle="PivotStyleLight16"/>
  <colors>
    <mruColors>
      <color rgb="FFC90F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Maximum</a:t>
            </a:r>
            <a:r>
              <a:rPr lang="en-US" baseline="0"/>
              <a:t> Profit from Model Predicted Default Probability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Total Profit</c:v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079E-F44A-B5E1-B670670C29C0}"/>
                </c:ext>
              </c:extLst>
            </c:dLbl>
            <c:dLbl>
              <c:idx val="1"/>
              <c:spPr>
                <a:solidFill>
                  <a:schemeClr val="accent6">
                    <a:lumMod val="20000"/>
                    <a:lumOff val="80000"/>
                  </a:schemeClr>
                </a:solidFill>
                <a:ln>
                  <a:solidFill>
                    <a:schemeClr val="accent1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accent6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079E-F44A-B5E1-B670670C29C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079E-F44A-B5E1-B670670C29C0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079E-F44A-B5E1-B670670C29C0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079E-F44A-B5E1-B670670C29C0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079E-F44A-B5E1-B670670C29C0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079E-F44A-B5E1-B670670C29C0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079E-F44A-B5E1-B670670C29C0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079E-F44A-B5E1-B670670C29C0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079E-F44A-B5E1-B670670C29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pivot_table!$D$4:$D$13</c:f>
              <c:numCache>
                <c:formatCode>0.00%</c:formatCode>
                <c:ptCount val="10"/>
                <c:pt idx="0">
                  <c:v>0.17496599286467901</c:v>
                </c:pt>
                <c:pt idx="1">
                  <c:v>0.35881366224141897</c:v>
                </c:pt>
                <c:pt idx="2">
                  <c:v>0.47584258697556497</c:v>
                </c:pt>
                <c:pt idx="3">
                  <c:v>0.56482777819684904</c:v>
                </c:pt>
                <c:pt idx="4">
                  <c:v>0.63757566072097405</c:v>
                </c:pt>
                <c:pt idx="5">
                  <c:v>0.68823276453429405</c:v>
                </c:pt>
                <c:pt idx="6">
                  <c:v>0.73607145012303798</c:v>
                </c:pt>
                <c:pt idx="7">
                  <c:v>0.790000147675743</c:v>
                </c:pt>
                <c:pt idx="8">
                  <c:v>0.84607193303260098</c:v>
                </c:pt>
                <c:pt idx="9">
                  <c:v>0.88753490911426602</c:v>
                </c:pt>
              </c:numCache>
            </c:numRef>
          </c:cat>
          <c:val>
            <c:numRef>
              <c:f>pivot_table!$L$4:$L$13</c:f>
              <c:numCache>
                <c:formatCode>"$"#,##0</c:formatCode>
                <c:ptCount val="10"/>
                <c:pt idx="0">
                  <c:v>3400</c:v>
                </c:pt>
                <c:pt idx="1">
                  <c:v>12400</c:v>
                </c:pt>
                <c:pt idx="2">
                  <c:v>-3800</c:v>
                </c:pt>
                <c:pt idx="3">
                  <c:v>-29800</c:v>
                </c:pt>
                <c:pt idx="4">
                  <c:v>-60000</c:v>
                </c:pt>
                <c:pt idx="5">
                  <c:v>-88800</c:v>
                </c:pt>
                <c:pt idx="6">
                  <c:v>-116200</c:v>
                </c:pt>
                <c:pt idx="7">
                  <c:v>-146400</c:v>
                </c:pt>
                <c:pt idx="8">
                  <c:v>-173800</c:v>
                </c:pt>
                <c:pt idx="9">
                  <c:v>-201200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E-F44A-B5E1-B670670C29C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07705135"/>
        <c:axId val="907707743"/>
      </c:lineChart>
      <c:catAx>
        <c:axId val="907705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 Predicted Probability of Default</a:t>
                </a:r>
              </a:p>
            </c:rich>
          </c:tx>
          <c:layout>
            <c:manualLayout>
              <c:xMode val="edge"/>
              <c:yMode val="edge"/>
              <c:x val="0.37937524573177817"/>
              <c:y val="0.9074376632905963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07743"/>
        <c:crossesAt val="-250000"/>
        <c:auto val="1"/>
        <c:lblAlgn val="ctr"/>
        <c:lblOffset val="100"/>
        <c:noMultiLvlLbl val="0"/>
      </c:catAx>
      <c:valAx>
        <c:axId val="907707743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7705135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1174814</xdr:colOff>
      <xdr:row>20</xdr:row>
      <xdr:rowOff>42269</xdr:rowOff>
    </xdr:from>
    <xdr:to>
      <xdr:col>7</xdr:col>
      <xdr:colOff>538480</xdr:colOff>
      <xdr:row>33</xdr:row>
      <xdr:rowOff>142713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606F60-F557-0424-0946-48AA077DE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n Tin Lin" refreshedDate="46259.678464814817" createdVersion="8" refreshedVersion="8" minRefreshableVersion="3" recordCount="400" xr:uid="{1FC166BF-2F9D-E848-883B-2164A8D2E22F}">
  <cacheSource type="worksheet">
    <worksheetSource name="Table1"/>
  </cacheSource>
  <cacheFields count="7">
    <cacheField name="index" numFmtId="0">
      <sharedItems containsSemiMixedTypes="0" containsString="0" containsNumber="1" containsInteger="1" minValue="0" maxValue="399"/>
    </cacheField>
    <cacheField name="Actual Outcome" numFmtId="0">
      <sharedItems containsSemiMixedTypes="0" containsString="0" containsNumber="1" containsInteger="1" minValue="0" maxValue="1"/>
    </cacheField>
    <cacheField name="Probability_Safe" numFmtId="10">
      <sharedItems containsSemiMixedTypes="0" containsString="0" containsNumber="1" minValue="4.6779713268150502E-2" maxValue="0.82503400713532005"/>
    </cacheField>
    <cacheField name="Probability_Default" numFmtId="10">
      <sharedItems containsSemiMixedTypes="0" containsString="0" containsNumber="1" minValue="0.17496599286467901" maxValue="0.953220286731849"/>
    </cacheField>
    <cacheField name="Predicted Outcome" numFmtId="0">
      <sharedItems containsSemiMixedTypes="0" containsString="0" containsNumber="1" containsInteger="1" minValue="0" maxValue="1"/>
    </cacheField>
    <cacheField name="True Positive" numFmtId="1">
      <sharedItems containsSemiMixedTypes="0" containsString="0" containsNumber="1" containsInteger="1" minValue="0" maxValue="1"/>
    </cacheField>
    <cacheField name="Decile" numFmtId="0">
      <sharedItems containsSemiMixedTypes="0" containsString="0" containsNumber="1" containsInteger="1" minValue="0" maxValue="9" count="10">
        <n v="9"/>
        <n v="8"/>
        <n v="7"/>
        <n v="6"/>
        <n v="5"/>
        <n v="4"/>
        <n v="3"/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n v="377"/>
    <n v="1"/>
    <n v="4.6779713268150502E-2"/>
    <n v="0.953220286731849"/>
    <n v="1"/>
    <n v="1"/>
    <x v="0"/>
  </r>
  <r>
    <n v="189"/>
    <n v="1"/>
    <n v="4.6918077701862099E-2"/>
    <n v="0.95308192229813704"/>
    <n v="1"/>
    <n v="1"/>
    <x v="0"/>
  </r>
  <r>
    <n v="44"/>
    <n v="1"/>
    <n v="5.5949471568144303E-2"/>
    <n v="0.944050528431855"/>
    <n v="1"/>
    <n v="1"/>
    <x v="0"/>
  </r>
  <r>
    <n v="245"/>
    <n v="1"/>
    <n v="5.7445627964969201E-2"/>
    <n v="0.94255437203503001"/>
    <n v="1"/>
    <n v="1"/>
    <x v="0"/>
  </r>
  <r>
    <n v="286"/>
    <n v="1"/>
    <n v="6.0548217203128397E-2"/>
    <n v="0.93945178279687103"/>
    <n v="1"/>
    <n v="1"/>
    <x v="0"/>
  </r>
  <r>
    <n v="114"/>
    <n v="1"/>
    <n v="6.4694371178253898E-2"/>
    <n v="0.93530562882174595"/>
    <n v="1"/>
    <n v="1"/>
    <x v="0"/>
  </r>
  <r>
    <n v="145"/>
    <n v="1"/>
    <n v="6.5322544728043996E-2"/>
    <n v="0.934677455271956"/>
    <n v="1"/>
    <n v="1"/>
    <x v="0"/>
  </r>
  <r>
    <n v="309"/>
    <n v="1"/>
    <n v="6.5327856328408596E-2"/>
    <n v="0.93467214367159102"/>
    <n v="1"/>
    <n v="1"/>
    <x v="0"/>
  </r>
  <r>
    <n v="5"/>
    <n v="0"/>
    <n v="6.6907890345421397E-2"/>
    <n v="0.93309210965457801"/>
    <n v="1"/>
    <n v="0"/>
    <x v="0"/>
  </r>
  <r>
    <n v="91"/>
    <n v="0"/>
    <n v="6.7753473930911898E-2"/>
    <n v="0.93224652606908798"/>
    <n v="1"/>
    <n v="0"/>
    <x v="0"/>
  </r>
  <r>
    <n v="352"/>
    <n v="1"/>
    <n v="6.8460558867534105E-2"/>
    <n v="0.93153944113246501"/>
    <n v="1"/>
    <n v="1"/>
    <x v="0"/>
  </r>
  <r>
    <n v="276"/>
    <n v="0"/>
    <n v="7.3868210807919998E-2"/>
    <n v="0.92613178919207995"/>
    <n v="1"/>
    <n v="0"/>
    <x v="0"/>
  </r>
  <r>
    <n v="354"/>
    <n v="1"/>
    <n v="7.6682959601266004E-2"/>
    <n v="0.92331704039873397"/>
    <n v="1"/>
    <n v="1"/>
    <x v="0"/>
  </r>
  <r>
    <n v="371"/>
    <n v="1"/>
    <n v="8.1077552855233104E-2"/>
    <n v="0.91892244714476601"/>
    <n v="1"/>
    <n v="1"/>
    <x v="0"/>
  </r>
  <r>
    <n v="379"/>
    <n v="1"/>
    <n v="8.4025489097265205E-2"/>
    <n v="0.91597451090273396"/>
    <n v="1"/>
    <n v="1"/>
    <x v="0"/>
  </r>
  <r>
    <n v="135"/>
    <n v="1"/>
    <n v="8.4544949832619398E-2"/>
    <n v="0.91545505016738005"/>
    <n v="1"/>
    <n v="1"/>
    <x v="0"/>
  </r>
  <r>
    <n v="150"/>
    <n v="0"/>
    <n v="8.4669761835666199E-2"/>
    <n v="0.91533023816433301"/>
    <n v="1"/>
    <n v="0"/>
    <x v="0"/>
  </r>
  <r>
    <n v="58"/>
    <n v="1"/>
    <n v="8.5862274993122004E-2"/>
    <n v="0.91413772500687795"/>
    <n v="1"/>
    <n v="1"/>
    <x v="0"/>
  </r>
  <r>
    <n v="336"/>
    <n v="1"/>
    <n v="8.6372432368955601E-2"/>
    <n v="0.91362756763104402"/>
    <n v="1"/>
    <n v="1"/>
    <x v="0"/>
  </r>
  <r>
    <n v="242"/>
    <n v="0"/>
    <n v="8.7827184360941904E-2"/>
    <n v="0.91217281563905805"/>
    <n v="1"/>
    <n v="0"/>
    <x v="0"/>
  </r>
  <r>
    <n v="224"/>
    <n v="1"/>
    <n v="9.0384901900281395E-2"/>
    <n v="0.90961509809971797"/>
    <n v="1"/>
    <n v="1"/>
    <x v="0"/>
  </r>
  <r>
    <n v="30"/>
    <n v="1"/>
    <n v="9.2925509080634794E-2"/>
    <n v="0.90707449091936498"/>
    <n v="1"/>
    <n v="1"/>
    <x v="0"/>
  </r>
  <r>
    <n v="222"/>
    <n v="1"/>
    <n v="9.3575518763545598E-2"/>
    <n v="0.90642448123645403"/>
    <n v="1"/>
    <n v="1"/>
    <x v="0"/>
  </r>
  <r>
    <n v="247"/>
    <n v="1"/>
    <n v="9.3970191702778594E-2"/>
    <n v="0.90602980829722102"/>
    <n v="1"/>
    <n v="1"/>
    <x v="0"/>
  </r>
  <r>
    <n v="372"/>
    <n v="0"/>
    <n v="9.4369067031179907E-2"/>
    <n v="0.90563093296882002"/>
    <n v="1"/>
    <n v="0"/>
    <x v="0"/>
  </r>
  <r>
    <n v="152"/>
    <n v="0"/>
    <n v="9.6431120277745905E-2"/>
    <n v="0.90356887972225397"/>
    <n v="1"/>
    <n v="0"/>
    <x v="0"/>
  </r>
  <r>
    <n v="39"/>
    <n v="1"/>
    <n v="9.9027356285356596E-2"/>
    <n v="0.90097264371464303"/>
    <n v="1"/>
    <n v="1"/>
    <x v="0"/>
  </r>
  <r>
    <n v="83"/>
    <n v="1"/>
    <n v="9.9194297389389702E-2"/>
    <n v="0.90080570261060999"/>
    <n v="1"/>
    <n v="1"/>
    <x v="0"/>
  </r>
  <r>
    <n v="115"/>
    <n v="0"/>
    <n v="0.100125151845101"/>
    <n v="0.89987484815489804"/>
    <n v="1"/>
    <n v="0"/>
    <x v="0"/>
  </r>
  <r>
    <n v="305"/>
    <n v="1"/>
    <n v="0.100761668496054"/>
    <n v="0.89923833150394505"/>
    <n v="1"/>
    <n v="1"/>
    <x v="0"/>
  </r>
  <r>
    <n v="340"/>
    <n v="1"/>
    <n v="0.101896343794128"/>
    <n v="0.89810365620587096"/>
    <n v="1"/>
    <n v="1"/>
    <x v="0"/>
  </r>
  <r>
    <n v="235"/>
    <n v="1"/>
    <n v="0.102903754003495"/>
    <n v="0.89709624599650395"/>
    <n v="1"/>
    <n v="1"/>
    <x v="0"/>
  </r>
  <r>
    <n v="125"/>
    <n v="1"/>
    <n v="0.107324056404802"/>
    <n v="0.89267594359519697"/>
    <n v="1"/>
    <n v="1"/>
    <x v="0"/>
  </r>
  <r>
    <n v="34"/>
    <n v="1"/>
    <n v="0.107358052943587"/>
    <n v="0.89264194705641298"/>
    <n v="1"/>
    <n v="1"/>
    <x v="0"/>
  </r>
  <r>
    <n v="392"/>
    <n v="1"/>
    <n v="0.108165510067983"/>
    <n v="0.89183448993201597"/>
    <n v="1"/>
    <n v="1"/>
    <x v="0"/>
  </r>
  <r>
    <n v="38"/>
    <n v="1"/>
    <n v="0.108488790967656"/>
    <n v="0.89151120903234304"/>
    <n v="1"/>
    <n v="1"/>
    <x v="0"/>
  </r>
  <r>
    <n v="118"/>
    <n v="0"/>
    <n v="0.11000390642123201"/>
    <n v="0.88999609357876697"/>
    <n v="1"/>
    <n v="0"/>
    <x v="0"/>
  </r>
  <r>
    <n v="215"/>
    <n v="1"/>
    <n v="0.11004715587545599"/>
    <n v="0.88995284412454301"/>
    <n v="1"/>
    <n v="1"/>
    <x v="0"/>
  </r>
  <r>
    <n v="33"/>
    <n v="1"/>
    <n v="0.11154210066959699"/>
    <n v="0.88845789933040198"/>
    <n v="1"/>
    <n v="1"/>
    <x v="0"/>
  </r>
  <r>
    <n v="37"/>
    <n v="1"/>
    <n v="0.112465090885733"/>
    <n v="0.88753490911426602"/>
    <n v="1"/>
    <n v="1"/>
    <x v="0"/>
  </r>
  <r>
    <n v="191"/>
    <n v="0"/>
    <n v="0.11363577711256199"/>
    <n v="0.88636422288743699"/>
    <n v="1"/>
    <n v="0"/>
    <x v="1"/>
  </r>
  <r>
    <n v="76"/>
    <n v="1"/>
    <n v="0.11366976429652299"/>
    <n v="0.88633023570347602"/>
    <n v="1"/>
    <n v="1"/>
    <x v="1"/>
  </r>
  <r>
    <n v="396"/>
    <n v="0"/>
    <n v="0.113932462611348"/>
    <n v="0.88606753738865096"/>
    <n v="1"/>
    <n v="0"/>
    <x v="1"/>
  </r>
  <r>
    <n v="168"/>
    <n v="0"/>
    <n v="0.11474333455334999"/>
    <n v="0.88525666544664905"/>
    <n v="1"/>
    <n v="0"/>
    <x v="1"/>
  </r>
  <r>
    <n v="221"/>
    <n v="1"/>
    <n v="0.114818543076169"/>
    <n v="0.88518145692382999"/>
    <n v="1"/>
    <n v="1"/>
    <x v="1"/>
  </r>
  <r>
    <n v="54"/>
    <n v="1"/>
    <n v="0.115073327708979"/>
    <n v="0.88492667229101996"/>
    <n v="1"/>
    <n v="1"/>
    <x v="1"/>
  </r>
  <r>
    <n v="204"/>
    <n v="1"/>
    <n v="0.11670704173786001"/>
    <n v="0.88329295826213905"/>
    <n v="1"/>
    <n v="1"/>
    <x v="1"/>
  </r>
  <r>
    <n v="160"/>
    <n v="0"/>
    <n v="0.116923082189252"/>
    <n v="0.88307691781074704"/>
    <n v="1"/>
    <n v="0"/>
    <x v="1"/>
  </r>
  <r>
    <n v="140"/>
    <n v="1"/>
    <n v="0.117280992114618"/>
    <n v="0.88271900788538105"/>
    <n v="1"/>
    <n v="1"/>
    <x v="1"/>
  </r>
  <r>
    <n v="124"/>
    <n v="1"/>
    <n v="0.117609338436776"/>
    <n v="0.88239066156322299"/>
    <n v="1"/>
    <n v="1"/>
    <x v="1"/>
  </r>
  <r>
    <n v="223"/>
    <n v="0"/>
    <n v="0.118420113216181"/>
    <n v="0.88157988678381805"/>
    <n v="1"/>
    <n v="0"/>
    <x v="1"/>
  </r>
  <r>
    <n v="225"/>
    <n v="1"/>
    <n v="0.11888060067003201"/>
    <n v="0.88111939932996697"/>
    <n v="1"/>
    <n v="1"/>
    <x v="1"/>
  </r>
  <r>
    <n v="185"/>
    <n v="0"/>
    <n v="0.121533068769257"/>
    <n v="0.87846693123074204"/>
    <n v="1"/>
    <n v="0"/>
    <x v="1"/>
  </r>
  <r>
    <n v="304"/>
    <n v="1"/>
    <n v="0.122263799627587"/>
    <n v="0.87773620037241196"/>
    <n v="1"/>
    <n v="1"/>
    <x v="1"/>
  </r>
  <r>
    <n v="311"/>
    <n v="1"/>
    <n v="0.123798192581082"/>
    <n v="0.87620180741891696"/>
    <n v="1"/>
    <n v="1"/>
    <x v="1"/>
  </r>
  <r>
    <n v="13"/>
    <n v="1"/>
    <n v="0.124641159433229"/>
    <n v="0.87535884056677005"/>
    <n v="1"/>
    <n v="1"/>
    <x v="1"/>
  </r>
  <r>
    <n v="104"/>
    <n v="1"/>
    <n v="0.12522590979151499"/>
    <n v="0.87477409020848496"/>
    <n v="1"/>
    <n v="1"/>
    <x v="1"/>
  </r>
  <r>
    <n v="367"/>
    <n v="1"/>
    <n v="0.12787577977477699"/>
    <n v="0.87212422022522196"/>
    <n v="1"/>
    <n v="1"/>
    <x v="1"/>
  </r>
  <r>
    <n v="23"/>
    <n v="1"/>
    <n v="0.12814770184327301"/>
    <n v="0.87185229815672605"/>
    <n v="1"/>
    <n v="1"/>
    <x v="1"/>
  </r>
  <r>
    <n v="260"/>
    <n v="1"/>
    <n v="0.130388099956985"/>
    <n v="0.86961190004301403"/>
    <n v="1"/>
    <n v="1"/>
    <x v="1"/>
  </r>
  <r>
    <n v="75"/>
    <n v="1"/>
    <n v="0.13108982553902301"/>
    <n v="0.86891017446097596"/>
    <n v="1"/>
    <n v="1"/>
    <x v="1"/>
  </r>
  <r>
    <n v="8"/>
    <n v="1"/>
    <n v="0.132515134311087"/>
    <n v="0.86748486568891203"/>
    <n v="1"/>
    <n v="1"/>
    <x v="1"/>
  </r>
  <r>
    <n v="134"/>
    <n v="0"/>
    <n v="0.13401507233370399"/>
    <n v="0.86598492766629498"/>
    <n v="1"/>
    <n v="0"/>
    <x v="1"/>
  </r>
  <r>
    <n v="388"/>
    <n v="1"/>
    <n v="0.134462758336855"/>
    <n v="0.86553724166314405"/>
    <n v="1"/>
    <n v="1"/>
    <x v="1"/>
  </r>
  <r>
    <n v="11"/>
    <n v="1"/>
    <n v="0.13460563458031799"/>
    <n v="0.86539436541968096"/>
    <n v="1"/>
    <n v="1"/>
    <x v="1"/>
  </r>
  <r>
    <n v="226"/>
    <n v="1"/>
    <n v="0.13509044679975901"/>
    <n v="0.86490955320023999"/>
    <n v="1"/>
    <n v="1"/>
    <x v="1"/>
  </r>
  <r>
    <n v="394"/>
    <n v="1"/>
    <n v="0.135367077456225"/>
    <n v="0.864632922543774"/>
    <n v="1"/>
    <n v="1"/>
    <x v="1"/>
  </r>
  <r>
    <n v="85"/>
    <n v="1"/>
    <n v="0.13830757054399101"/>
    <n v="0.86169242945600799"/>
    <n v="1"/>
    <n v="1"/>
    <x v="1"/>
  </r>
  <r>
    <n v="130"/>
    <n v="1"/>
    <n v="0.13865003659863501"/>
    <n v="0.86134996340136405"/>
    <n v="1"/>
    <n v="1"/>
    <x v="1"/>
  </r>
  <r>
    <n v="274"/>
    <n v="1"/>
    <n v="0.14086257286939299"/>
    <n v="0.85913742713060604"/>
    <n v="1"/>
    <n v="1"/>
    <x v="1"/>
  </r>
  <r>
    <n v="364"/>
    <n v="1"/>
    <n v="0.14317247958892301"/>
    <n v="0.85682752041107602"/>
    <n v="1"/>
    <n v="1"/>
    <x v="1"/>
  </r>
  <r>
    <n v="182"/>
    <n v="0"/>
    <n v="0.14433862793601299"/>
    <n v="0.85566137206398596"/>
    <n v="1"/>
    <n v="0"/>
    <x v="1"/>
  </r>
  <r>
    <n v="66"/>
    <n v="1"/>
    <n v="0.14435823152301699"/>
    <n v="0.85564176847698203"/>
    <n v="1"/>
    <n v="1"/>
    <x v="1"/>
  </r>
  <r>
    <n v="9"/>
    <n v="1"/>
    <n v="0.144444899221119"/>
    <n v="0.85555510077887997"/>
    <n v="1"/>
    <n v="1"/>
    <x v="1"/>
  </r>
  <r>
    <n v="203"/>
    <n v="0"/>
    <n v="0.14578443815223799"/>
    <n v="0.85421556184776104"/>
    <n v="1"/>
    <n v="0"/>
    <x v="1"/>
  </r>
  <r>
    <n v="254"/>
    <n v="1"/>
    <n v="0.14627891227098699"/>
    <n v="0.85372108772901201"/>
    <n v="1"/>
    <n v="1"/>
    <x v="1"/>
  </r>
  <r>
    <n v="290"/>
    <n v="1"/>
    <n v="0.148766680498265"/>
    <n v="0.85123331950173398"/>
    <n v="1"/>
    <n v="1"/>
    <x v="1"/>
  </r>
  <r>
    <n v="201"/>
    <n v="1"/>
    <n v="0.149106990034095"/>
    <n v="0.850893009965904"/>
    <n v="1"/>
    <n v="1"/>
    <x v="1"/>
  </r>
  <r>
    <n v="317"/>
    <n v="1"/>
    <n v="0.15182142614027"/>
    <n v="0.84817857385972895"/>
    <n v="1"/>
    <n v="1"/>
    <x v="1"/>
  </r>
  <r>
    <n v="100"/>
    <n v="1"/>
    <n v="0.153928066967398"/>
    <n v="0.84607193303260098"/>
    <n v="1"/>
    <n v="1"/>
    <x v="1"/>
  </r>
  <r>
    <n v="212"/>
    <n v="1"/>
    <n v="0.15468352469237001"/>
    <n v="0.84531647530762899"/>
    <n v="1"/>
    <n v="1"/>
    <x v="2"/>
  </r>
  <r>
    <n v="197"/>
    <n v="1"/>
    <n v="0.155593233054059"/>
    <n v="0.84440676694593997"/>
    <n v="1"/>
    <n v="1"/>
    <x v="2"/>
  </r>
  <r>
    <n v="148"/>
    <n v="1"/>
    <n v="0.15664168779430901"/>
    <n v="0.84335831220569002"/>
    <n v="1"/>
    <n v="1"/>
    <x v="2"/>
  </r>
  <r>
    <n v="266"/>
    <n v="1"/>
    <n v="0.158637346655433"/>
    <n v="0.84136265334456595"/>
    <n v="1"/>
    <n v="1"/>
    <x v="2"/>
  </r>
  <r>
    <n v="61"/>
    <n v="1"/>
    <n v="0.16126414372843301"/>
    <n v="0.83873585627156699"/>
    <n v="1"/>
    <n v="1"/>
    <x v="2"/>
  </r>
  <r>
    <n v="192"/>
    <n v="1"/>
    <n v="0.16257984272083301"/>
    <n v="0.83742015727916597"/>
    <n v="1"/>
    <n v="1"/>
    <x v="2"/>
  </r>
  <r>
    <n v="353"/>
    <n v="0"/>
    <n v="0.162758664718509"/>
    <n v="0.83724133528149003"/>
    <n v="1"/>
    <n v="0"/>
    <x v="2"/>
  </r>
  <r>
    <n v="126"/>
    <n v="1"/>
    <n v="0.164858029819788"/>
    <n v="0.83514197018021097"/>
    <n v="1"/>
    <n v="1"/>
    <x v="2"/>
  </r>
  <r>
    <n v="255"/>
    <n v="1"/>
    <n v="0.164910788500475"/>
    <n v="0.83508921149952398"/>
    <n v="1"/>
    <n v="1"/>
    <x v="2"/>
  </r>
  <r>
    <n v="345"/>
    <n v="1"/>
    <n v="0.16639470142360299"/>
    <n v="0.83360529857639598"/>
    <n v="1"/>
    <n v="1"/>
    <x v="2"/>
  </r>
  <r>
    <n v="84"/>
    <n v="1"/>
    <n v="0.16698835353001401"/>
    <n v="0.83301164646998505"/>
    <n v="1"/>
    <n v="1"/>
    <x v="2"/>
  </r>
  <r>
    <n v="287"/>
    <n v="1"/>
    <n v="0.16712433999908299"/>
    <n v="0.83287566000091595"/>
    <n v="1"/>
    <n v="1"/>
    <x v="2"/>
  </r>
  <r>
    <n v="25"/>
    <n v="0"/>
    <n v="0.16869384867392501"/>
    <n v="0.83130615132607399"/>
    <n v="1"/>
    <n v="0"/>
    <x v="2"/>
  </r>
  <r>
    <n v="332"/>
    <n v="1"/>
    <n v="0.16894138655559199"/>
    <n v="0.83105861344440801"/>
    <n v="1"/>
    <n v="1"/>
    <x v="2"/>
  </r>
  <r>
    <n v="132"/>
    <n v="1"/>
    <n v="0.16978387567657399"/>
    <n v="0.83021612432342495"/>
    <n v="1"/>
    <n v="1"/>
    <x v="2"/>
  </r>
  <r>
    <n v="14"/>
    <n v="0"/>
    <n v="0.17013659553534799"/>
    <n v="0.82986340446465101"/>
    <n v="1"/>
    <n v="0"/>
    <x v="2"/>
  </r>
  <r>
    <n v="87"/>
    <n v="1"/>
    <n v="0.172363063204619"/>
    <n v="0.82763693679538097"/>
    <n v="1"/>
    <n v="1"/>
    <x v="2"/>
  </r>
  <r>
    <n v="213"/>
    <n v="1"/>
    <n v="0.172493215668758"/>
    <n v="0.82750678433124103"/>
    <n v="1"/>
    <n v="1"/>
    <x v="2"/>
  </r>
  <r>
    <n v="59"/>
    <n v="1"/>
    <n v="0.17295166446565099"/>
    <n v="0.82704833553434798"/>
    <n v="1"/>
    <n v="1"/>
    <x v="2"/>
  </r>
  <r>
    <n v="351"/>
    <n v="1"/>
    <n v="0.17484992424090801"/>
    <n v="0.82515007575909105"/>
    <n v="1"/>
    <n v="1"/>
    <x v="2"/>
  </r>
  <r>
    <n v="187"/>
    <n v="1"/>
    <n v="0.17563520788711501"/>
    <n v="0.82436479211288405"/>
    <n v="1"/>
    <n v="1"/>
    <x v="2"/>
  </r>
  <r>
    <n v="262"/>
    <n v="0"/>
    <n v="0.17624644158295"/>
    <n v="0.823753558417049"/>
    <n v="1"/>
    <n v="0"/>
    <x v="2"/>
  </r>
  <r>
    <n v="306"/>
    <n v="1"/>
    <n v="0.17751077104589399"/>
    <n v="0.82248922895410503"/>
    <n v="1"/>
    <n v="1"/>
    <x v="2"/>
  </r>
  <r>
    <n v="71"/>
    <n v="1"/>
    <n v="0.17775590926644699"/>
    <n v="0.82224409073355298"/>
    <n v="1"/>
    <n v="1"/>
    <x v="2"/>
  </r>
  <r>
    <n v="116"/>
    <n v="1"/>
    <n v="0.182977159439841"/>
    <n v="0.81702284056015795"/>
    <n v="1"/>
    <n v="1"/>
    <x v="2"/>
  </r>
  <r>
    <n v="238"/>
    <n v="1"/>
    <n v="0.18479289542483801"/>
    <n v="0.81520710457516199"/>
    <n v="1"/>
    <n v="1"/>
    <x v="2"/>
  </r>
  <r>
    <n v="369"/>
    <n v="1"/>
    <n v="0.18485029987608001"/>
    <n v="0.81514970012391896"/>
    <n v="1"/>
    <n v="1"/>
    <x v="2"/>
  </r>
  <r>
    <n v="398"/>
    <n v="1"/>
    <n v="0.18539601473359399"/>
    <n v="0.81460398526640498"/>
    <n v="1"/>
    <n v="1"/>
    <x v="2"/>
  </r>
  <r>
    <n v="50"/>
    <n v="1"/>
    <n v="0.186834984626019"/>
    <n v="0.813165015373981"/>
    <n v="1"/>
    <n v="1"/>
    <x v="2"/>
  </r>
  <r>
    <n v="308"/>
    <n v="0"/>
    <n v="0.187990830009645"/>
    <n v="0.812009169990354"/>
    <n v="1"/>
    <n v="0"/>
    <x v="2"/>
  </r>
  <r>
    <n v="35"/>
    <n v="0"/>
    <n v="0.18906972146261999"/>
    <n v="0.81093027853737898"/>
    <n v="1"/>
    <n v="0"/>
    <x v="2"/>
  </r>
  <r>
    <n v="123"/>
    <n v="1"/>
    <n v="0.19250822863575001"/>
    <n v="0.80749177136424899"/>
    <n v="1"/>
    <n v="1"/>
    <x v="2"/>
  </r>
  <r>
    <n v="324"/>
    <n v="1"/>
    <n v="0.192981801475509"/>
    <n v="0.80701819852448997"/>
    <n v="1"/>
    <n v="1"/>
    <x v="2"/>
  </r>
  <r>
    <n v="393"/>
    <n v="1"/>
    <n v="0.196165976432077"/>
    <n v="0.803834023567922"/>
    <n v="1"/>
    <n v="1"/>
    <x v="2"/>
  </r>
  <r>
    <n v="72"/>
    <n v="1"/>
    <n v="0.196580855402927"/>
    <n v="0.80341914459707198"/>
    <n v="1"/>
    <n v="1"/>
    <x v="2"/>
  </r>
  <r>
    <n v="101"/>
    <n v="1"/>
    <n v="0.19860742269130699"/>
    <n v="0.80139257730869196"/>
    <n v="1"/>
    <n v="1"/>
    <x v="2"/>
  </r>
  <r>
    <n v="321"/>
    <n v="1"/>
    <n v="0.20004736023532599"/>
    <n v="0.79995263976467301"/>
    <n v="1"/>
    <n v="1"/>
    <x v="2"/>
  </r>
  <r>
    <n v="283"/>
    <n v="0"/>
    <n v="0.20026538233142899"/>
    <n v="0.79973461766857001"/>
    <n v="1"/>
    <n v="0"/>
    <x v="2"/>
  </r>
  <r>
    <n v="70"/>
    <n v="1"/>
    <n v="0.20754281370403799"/>
    <n v="0.79245718629596096"/>
    <n v="1"/>
    <n v="1"/>
    <x v="2"/>
  </r>
  <r>
    <n v="250"/>
    <n v="1"/>
    <n v="0.209999852324256"/>
    <n v="0.790000147675743"/>
    <n v="1"/>
    <n v="1"/>
    <x v="2"/>
  </r>
  <r>
    <n v="80"/>
    <n v="1"/>
    <n v="0.21123644945783099"/>
    <n v="0.78876355054216796"/>
    <n v="1"/>
    <n v="1"/>
    <x v="3"/>
  </r>
  <r>
    <n v="391"/>
    <n v="0"/>
    <n v="0.213201578455189"/>
    <n v="0.78679842154480994"/>
    <n v="1"/>
    <n v="0"/>
    <x v="3"/>
  </r>
  <r>
    <n v="349"/>
    <n v="1"/>
    <n v="0.21418280292561201"/>
    <n v="0.78581719707438702"/>
    <n v="1"/>
    <n v="1"/>
    <x v="3"/>
  </r>
  <r>
    <n v="362"/>
    <n v="1"/>
    <n v="0.21564774482812299"/>
    <n v="0.78435225517187601"/>
    <n v="1"/>
    <n v="1"/>
    <x v="3"/>
  </r>
  <r>
    <n v="95"/>
    <n v="1"/>
    <n v="0.21634993691925999"/>
    <n v="0.78365006308073903"/>
    <n v="1"/>
    <n v="1"/>
    <x v="3"/>
  </r>
  <r>
    <n v="314"/>
    <n v="1"/>
    <n v="0.21638057887512099"/>
    <n v="0.78361942112487804"/>
    <n v="1"/>
    <n v="1"/>
    <x v="3"/>
  </r>
  <r>
    <n v="17"/>
    <n v="1"/>
    <n v="0.218847660579087"/>
    <n v="0.781152339420912"/>
    <n v="1"/>
    <n v="1"/>
    <x v="3"/>
  </r>
  <r>
    <n v="167"/>
    <n v="1"/>
    <n v="0.21891851682114299"/>
    <n v="0.78108148317885595"/>
    <n v="1"/>
    <n v="1"/>
    <x v="3"/>
  </r>
  <r>
    <n v="107"/>
    <n v="1"/>
    <n v="0.21920465098860301"/>
    <n v="0.78079534901139602"/>
    <n v="1"/>
    <n v="1"/>
    <x v="3"/>
  </r>
  <r>
    <n v="278"/>
    <n v="1"/>
    <n v="0.221082797625095"/>
    <n v="0.77891720237490403"/>
    <n v="1"/>
    <n v="1"/>
    <x v="3"/>
  </r>
  <r>
    <n v="380"/>
    <n v="1"/>
    <n v="0.221651020308201"/>
    <n v="0.77834897969179895"/>
    <n v="1"/>
    <n v="1"/>
    <x v="3"/>
  </r>
  <r>
    <n v="270"/>
    <n v="1"/>
    <n v="0.222126658861098"/>
    <n v="0.77787334113890105"/>
    <n v="1"/>
    <n v="1"/>
    <x v="3"/>
  </r>
  <r>
    <n v="292"/>
    <n v="1"/>
    <n v="0.226095186262498"/>
    <n v="0.77390481373750097"/>
    <n v="1"/>
    <n v="1"/>
    <x v="3"/>
  </r>
  <r>
    <n v="301"/>
    <n v="1"/>
    <n v="0.228181169590225"/>
    <n v="0.77181883040977395"/>
    <n v="1"/>
    <n v="1"/>
    <x v="3"/>
  </r>
  <r>
    <n v="302"/>
    <n v="1"/>
    <n v="0.228282541273229"/>
    <n v="0.77171745872677"/>
    <n v="1"/>
    <n v="1"/>
    <x v="3"/>
  </r>
  <r>
    <n v="218"/>
    <n v="0"/>
    <n v="0.229074471093861"/>
    <n v="0.77092552890613897"/>
    <n v="1"/>
    <n v="0"/>
    <x v="3"/>
  </r>
  <r>
    <n v="205"/>
    <n v="0"/>
    <n v="0.231983282287378"/>
    <n v="0.76801671771262103"/>
    <n v="1"/>
    <n v="0"/>
    <x v="3"/>
  </r>
  <r>
    <n v="4"/>
    <n v="1"/>
    <n v="0.232119132161165"/>
    <n v="0.76788086783883402"/>
    <n v="1"/>
    <n v="1"/>
    <x v="3"/>
  </r>
  <r>
    <n v="153"/>
    <n v="1"/>
    <n v="0.23337679864709401"/>
    <n v="0.76662320135290596"/>
    <n v="1"/>
    <n v="1"/>
    <x v="3"/>
  </r>
  <r>
    <n v="310"/>
    <n v="1"/>
    <n v="0.234067189161943"/>
    <n v="0.76593281083805598"/>
    <n v="1"/>
    <n v="1"/>
    <x v="3"/>
  </r>
  <r>
    <n v="183"/>
    <n v="1"/>
    <n v="0.23777838029922499"/>
    <n v="0.76222161970077396"/>
    <n v="1"/>
    <n v="1"/>
    <x v="3"/>
  </r>
  <r>
    <n v="333"/>
    <n v="1"/>
    <n v="0.24004294574812199"/>
    <n v="0.75995705425187798"/>
    <n v="1"/>
    <n v="1"/>
    <x v="3"/>
  </r>
  <r>
    <n v="113"/>
    <n v="1"/>
    <n v="0.241058229569376"/>
    <n v="0.75894177043062305"/>
    <n v="1"/>
    <n v="1"/>
    <x v="3"/>
  </r>
  <r>
    <n v="172"/>
    <n v="1"/>
    <n v="0.242775916142313"/>
    <n v="0.75722408385768603"/>
    <n v="1"/>
    <n v="1"/>
    <x v="3"/>
  </r>
  <r>
    <n v="241"/>
    <n v="0"/>
    <n v="0.24315245187682499"/>
    <n v="0.75684754812317401"/>
    <n v="1"/>
    <n v="0"/>
    <x v="3"/>
  </r>
  <r>
    <n v="230"/>
    <n v="1"/>
    <n v="0.24505919629988099"/>
    <n v="0.75494080370011796"/>
    <n v="1"/>
    <n v="1"/>
    <x v="3"/>
  </r>
  <r>
    <n v="89"/>
    <n v="1"/>
    <n v="0.245762787463981"/>
    <n v="0.75423721253601805"/>
    <n v="1"/>
    <n v="1"/>
    <x v="3"/>
  </r>
  <r>
    <n v="228"/>
    <n v="1"/>
    <n v="0.24688002564640901"/>
    <n v="0.75311997435359002"/>
    <n v="1"/>
    <n v="1"/>
    <x v="3"/>
  </r>
  <r>
    <n v="335"/>
    <n v="0"/>
    <n v="0.24738606058746601"/>
    <n v="0.75261393941253296"/>
    <n v="1"/>
    <n v="0"/>
    <x v="3"/>
  </r>
  <r>
    <n v="244"/>
    <n v="0"/>
    <n v="0.24920147230790801"/>
    <n v="0.75079852769209099"/>
    <n v="1"/>
    <n v="0"/>
    <x v="3"/>
  </r>
  <r>
    <n v="303"/>
    <n v="1"/>
    <n v="0.25084564556503902"/>
    <n v="0.74915435443496003"/>
    <n v="1"/>
    <n v="1"/>
    <x v="3"/>
  </r>
  <r>
    <n v="99"/>
    <n v="0"/>
    <n v="0.251155272837155"/>
    <n v="0.748844727162844"/>
    <n v="1"/>
    <n v="0"/>
    <x v="3"/>
  </r>
  <r>
    <n v="240"/>
    <n v="1"/>
    <n v="0.25358619599469401"/>
    <n v="0.74641380400530499"/>
    <n v="1"/>
    <n v="1"/>
    <x v="3"/>
  </r>
  <r>
    <n v="358"/>
    <n v="1"/>
    <n v="0.25445357710754901"/>
    <n v="0.74554642289244999"/>
    <n v="1"/>
    <n v="1"/>
    <x v="3"/>
  </r>
  <r>
    <n v="117"/>
    <n v="1"/>
    <n v="0.25728858915584601"/>
    <n v="0.74271141084415304"/>
    <n v="1"/>
    <n v="1"/>
    <x v="3"/>
  </r>
  <r>
    <n v="88"/>
    <n v="1"/>
    <n v="0.25779861717860603"/>
    <n v="0.74220138282139303"/>
    <n v="1"/>
    <n v="1"/>
    <x v="3"/>
  </r>
  <r>
    <n v="216"/>
    <n v="0"/>
    <n v="0.258761506146721"/>
    <n v="0.741238493853278"/>
    <n v="1"/>
    <n v="0"/>
    <x v="3"/>
  </r>
  <r>
    <n v="378"/>
    <n v="1"/>
    <n v="0.25941096366542399"/>
    <n v="0.74058903633457496"/>
    <n v="1"/>
    <n v="1"/>
    <x v="3"/>
  </r>
  <r>
    <n v="284"/>
    <n v="0"/>
    <n v="0.26099325252351802"/>
    <n v="0.73900674747648099"/>
    <n v="1"/>
    <n v="0"/>
    <x v="3"/>
  </r>
  <r>
    <n v="27"/>
    <n v="1"/>
    <n v="0.26392854987696102"/>
    <n v="0.73607145012303798"/>
    <n v="1"/>
    <n v="1"/>
    <x v="3"/>
  </r>
  <r>
    <n v="68"/>
    <n v="0"/>
    <n v="0.26432012208739603"/>
    <n v="0.73567987791260303"/>
    <n v="1"/>
    <n v="0"/>
    <x v="4"/>
  </r>
  <r>
    <n v="337"/>
    <n v="1"/>
    <n v="0.26495177030531097"/>
    <n v="0.73504822969468797"/>
    <n v="1"/>
    <n v="1"/>
    <x v="4"/>
  </r>
  <r>
    <n v="137"/>
    <n v="1"/>
    <n v="0.26886434325654102"/>
    <n v="0.73113565674345804"/>
    <n v="1"/>
    <n v="1"/>
    <x v="4"/>
  </r>
  <r>
    <n v="298"/>
    <n v="1"/>
    <n v="0.26898675342452699"/>
    <n v="0.73101324657547195"/>
    <n v="1"/>
    <n v="1"/>
    <x v="4"/>
  </r>
  <r>
    <n v="142"/>
    <n v="1"/>
    <n v="0.27063113603419198"/>
    <n v="0.72936886396580702"/>
    <n v="1"/>
    <n v="1"/>
    <x v="4"/>
  </r>
  <r>
    <n v="285"/>
    <n v="1"/>
    <n v="0.27158049470731899"/>
    <n v="0.72841950529267996"/>
    <n v="1"/>
    <n v="1"/>
    <x v="4"/>
  </r>
  <r>
    <n v="45"/>
    <n v="1"/>
    <n v="0.27253556424993602"/>
    <n v="0.72746443575006303"/>
    <n v="1"/>
    <n v="1"/>
    <x v="4"/>
  </r>
  <r>
    <n v="293"/>
    <n v="1"/>
    <n v="0.27318290242094601"/>
    <n v="0.726817097579053"/>
    <n v="1"/>
    <n v="1"/>
    <x v="4"/>
  </r>
  <r>
    <n v="295"/>
    <n v="1"/>
    <n v="0.27374413181205498"/>
    <n v="0.72625586818794396"/>
    <n v="1"/>
    <n v="1"/>
    <x v="4"/>
  </r>
  <r>
    <n v="147"/>
    <n v="1"/>
    <n v="0.27554670281010102"/>
    <n v="0.72445329718989804"/>
    <n v="1"/>
    <n v="1"/>
    <x v="4"/>
  </r>
  <r>
    <n v="47"/>
    <n v="1"/>
    <n v="0.27710211064376999"/>
    <n v="0.72289788935622901"/>
    <n v="1"/>
    <n v="1"/>
    <x v="4"/>
  </r>
  <r>
    <n v="331"/>
    <n v="1"/>
    <n v="0.27781570733417399"/>
    <n v="0.72218429266582496"/>
    <n v="1"/>
    <n v="1"/>
    <x v="4"/>
  </r>
  <r>
    <n v="208"/>
    <n v="1"/>
    <n v="0.28063172859399699"/>
    <n v="0.71936827140600201"/>
    <n v="1"/>
    <n v="1"/>
    <x v="4"/>
  </r>
  <r>
    <n v="128"/>
    <n v="0"/>
    <n v="0.28119678566501699"/>
    <n v="0.71880321433498195"/>
    <n v="1"/>
    <n v="0"/>
    <x v="4"/>
  </r>
  <r>
    <n v="296"/>
    <n v="0"/>
    <n v="0.28199995822201401"/>
    <n v="0.71800004177798504"/>
    <n v="1"/>
    <n v="0"/>
    <x v="4"/>
  </r>
  <r>
    <n v="219"/>
    <n v="0"/>
    <n v="0.28324976745032598"/>
    <n v="0.71675023254967296"/>
    <n v="1"/>
    <n v="0"/>
    <x v="4"/>
  </r>
  <r>
    <n v="207"/>
    <n v="1"/>
    <n v="0.28923921709920603"/>
    <n v="0.71076078290079303"/>
    <n v="1"/>
    <n v="1"/>
    <x v="4"/>
  </r>
  <r>
    <n v="395"/>
    <n v="1"/>
    <n v="0.28951606104317201"/>
    <n v="0.71048393895682704"/>
    <n v="1"/>
    <n v="1"/>
    <x v="4"/>
  </r>
  <r>
    <n v="248"/>
    <n v="1"/>
    <n v="0.29076737013153298"/>
    <n v="0.70923262986846602"/>
    <n v="1"/>
    <n v="1"/>
    <x v="4"/>
  </r>
  <r>
    <n v="325"/>
    <n v="1"/>
    <n v="0.292362884790758"/>
    <n v="0.707637115209241"/>
    <n v="1"/>
    <n v="1"/>
    <x v="4"/>
  </r>
  <r>
    <n v="173"/>
    <n v="1"/>
    <n v="0.29244533845704701"/>
    <n v="0.70755466154295199"/>
    <n v="1"/>
    <n v="1"/>
    <x v="4"/>
  </r>
  <r>
    <n v="271"/>
    <n v="1"/>
    <n v="0.293192053362474"/>
    <n v="0.706807946637525"/>
    <n v="1"/>
    <n v="1"/>
    <x v="4"/>
  </r>
  <r>
    <n v="229"/>
    <n v="1"/>
    <n v="0.293774800162516"/>
    <n v="0.706225199837483"/>
    <n v="1"/>
    <n v="1"/>
    <x v="4"/>
  </r>
  <r>
    <n v="73"/>
    <n v="1"/>
    <n v="0.29630775275148502"/>
    <n v="0.70369224724851398"/>
    <n v="1"/>
    <n v="1"/>
    <x v="4"/>
  </r>
  <r>
    <n v="176"/>
    <n v="0"/>
    <n v="0.29756891371646099"/>
    <n v="0.70243108628353801"/>
    <n v="1"/>
    <n v="0"/>
    <x v="4"/>
  </r>
  <r>
    <n v="375"/>
    <n v="1"/>
    <n v="0.29769343888509098"/>
    <n v="0.70230656111490797"/>
    <n v="1"/>
    <n v="1"/>
    <x v="4"/>
  </r>
  <r>
    <n v="294"/>
    <n v="1"/>
    <n v="0.29925616136107702"/>
    <n v="0.70074383863892198"/>
    <n v="1"/>
    <n v="1"/>
    <x v="4"/>
  </r>
  <r>
    <n v="144"/>
    <n v="1"/>
    <n v="0.299860409460599"/>
    <n v="0.7001395905394"/>
    <n v="1"/>
    <n v="1"/>
    <x v="4"/>
  </r>
  <r>
    <n v="112"/>
    <n v="1"/>
    <n v="0.30014057805655098"/>
    <n v="0.69985942194344897"/>
    <n v="1"/>
    <n v="1"/>
    <x v="4"/>
  </r>
  <r>
    <n v="348"/>
    <n v="1"/>
    <n v="0.30046113046397699"/>
    <n v="0.69953886953602196"/>
    <n v="1"/>
    <n v="1"/>
    <x v="4"/>
  </r>
  <r>
    <n v="81"/>
    <n v="0"/>
    <n v="0.30070557484792598"/>
    <n v="0.69929442515207296"/>
    <n v="1"/>
    <n v="0"/>
    <x v="4"/>
  </r>
  <r>
    <n v="338"/>
    <n v="1"/>
    <n v="0.30075960170344601"/>
    <n v="0.69924039829655305"/>
    <n v="1"/>
    <n v="1"/>
    <x v="4"/>
  </r>
  <r>
    <n v="48"/>
    <n v="1"/>
    <n v="0.30137524256895099"/>
    <n v="0.69862475743104802"/>
    <n v="1"/>
    <n v="1"/>
    <x v="4"/>
  </r>
  <r>
    <n v="346"/>
    <n v="1"/>
    <n v="0.30150861058802098"/>
    <n v="0.69849138941197897"/>
    <n v="1"/>
    <n v="1"/>
    <x v="4"/>
  </r>
  <r>
    <n v="268"/>
    <n v="1"/>
    <n v="0.30262440210914898"/>
    <n v="0.69737559789085002"/>
    <n v="1"/>
    <n v="1"/>
    <x v="4"/>
  </r>
  <r>
    <n v="109"/>
    <n v="0"/>
    <n v="0.30646528367970399"/>
    <n v="0.69353471632029495"/>
    <n v="1"/>
    <n v="0"/>
    <x v="4"/>
  </r>
  <r>
    <n v="166"/>
    <n v="1"/>
    <n v="0.307490406676588"/>
    <n v="0.692509593323411"/>
    <n v="1"/>
    <n v="1"/>
    <x v="4"/>
  </r>
  <r>
    <n v="55"/>
    <n v="0"/>
    <n v="0.30902042884405001"/>
    <n v="0.69097957115594899"/>
    <n v="1"/>
    <n v="0"/>
    <x v="4"/>
  </r>
  <r>
    <n v="373"/>
    <n v="1"/>
    <n v="0.309704324365073"/>
    <n v="0.690295675634926"/>
    <n v="1"/>
    <n v="1"/>
    <x v="4"/>
  </r>
  <r>
    <n v="194"/>
    <n v="1"/>
    <n v="0.31176723546570501"/>
    <n v="0.68823276453429405"/>
    <n v="1"/>
    <n v="1"/>
    <x v="4"/>
  </r>
  <r>
    <n v="158"/>
    <n v="0"/>
    <n v="0.31327244195659598"/>
    <n v="0.68672755804340302"/>
    <n v="1"/>
    <n v="0"/>
    <x v="5"/>
  </r>
  <r>
    <n v="200"/>
    <n v="1"/>
    <n v="0.31555514299339299"/>
    <n v="0.68444485700660596"/>
    <n v="1"/>
    <n v="1"/>
    <x v="5"/>
  </r>
  <r>
    <n v="190"/>
    <n v="1"/>
    <n v="0.31571184900468202"/>
    <n v="0.68428815099531703"/>
    <n v="1"/>
    <n v="1"/>
    <x v="5"/>
  </r>
  <r>
    <n v="42"/>
    <n v="1"/>
    <n v="0.31602341802245199"/>
    <n v="0.68397658197754696"/>
    <n v="1"/>
    <n v="1"/>
    <x v="5"/>
  </r>
  <r>
    <n v="110"/>
    <n v="1"/>
    <n v="0.31699005444084599"/>
    <n v="0.68300994555915295"/>
    <n v="1"/>
    <n v="1"/>
    <x v="5"/>
  </r>
  <r>
    <n v="359"/>
    <n v="0"/>
    <n v="0.31730943432734798"/>
    <n v="0.68269056567265196"/>
    <n v="1"/>
    <n v="0"/>
    <x v="5"/>
  </r>
  <r>
    <n v="281"/>
    <n v="0"/>
    <n v="0.317818971653546"/>
    <n v="0.682181028346453"/>
    <n v="1"/>
    <n v="0"/>
    <x v="5"/>
  </r>
  <r>
    <n v="382"/>
    <n v="1"/>
    <n v="0.31942966400284201"/>
    <n v="0.68057033599715799"/>
    <n v="1"/>
    <n v="1"/>
    <x v="5"/>
  </r>
  <r>
    <n v="357"/>
    <n v="1"/>
    <n v="0.32335959722789098"/>
    <n v="0.67664040277210802"/>
    <n v="1"/>
    <n v="1"/>
    <x v="5"/>
  </r>
  <r>
    <n v="93"/>
    <n v="1"/>
    <n v="0.32354581702286"/>
    <n v="0.676454182977139"/>
    <n v="1"/>
    <n v="1"/>
    <x v="5"/>
  </r>
  <r>
    <n v="193"/>
    <n v="1"/>
    <n v="0.326231788050034"/>
    <n v="0.67376821194996495"/>
    <n v="1"/>
    <n v="1"/>
    <x v="5"/>
  </r>
  <r>
    <n v="275"/>
    <n v="1"/>
    <n v="0.32678821604161501"/>
    <n v="0.67321178395838399"/>
    <n v="1"/>
    <n v="1"/>
    <x v="5"/>
  </r>
  <r>
    <n v="165"/>
    <n v="1"/>
    <n v="0.32715662493913"/>
    <n v="0.672843375060869"/>
    <n v="1"/>
    <n v="1"/>
    <x v="5"/>
  </r>
  <r>
    <n v="12"/>
    <n v="1"/>
    <n v="0.329647406718653"/>
    <n v="0.670352593281346"/>
    <n v="1"/>
    <n v="1"/>
    <x v="5"/>
  </r>
  <r>
    <n v="249"/>
    <n v="1"/>
    <n v="0.32990996893159502"/>
    <n v="0.67009003106840404"/>
    <n v="1"/>
    <n v="1"/>
    <x v="5"/>
  </r>
  <r>
    <n v="232"/>
    <n v="1"/>
    <n v="0.330051377715598"/>
    <n v="0.669948622284401"/>
    <n v="1"/>
    <n v="1"/>
    <x v="5"/>
  </r>
  <r>
    <n v="92"/>
    <n v="1"/>
    <n v="0.33216164086719902"/>
    <n v="0.66783835913279999"/>
    <n v="1"/>
    <n v="1"/>
    <x v="5"/>
  </r>
  <r>
    <n v="170"/>
    <n v="1"/>
    <n v="0.33237817256942198"/>
    <n v="0.66762182743057696"/>
    <n v="1"/>
    <n v="1"/>
    <x v="5"/>
  </r>
  <r>
    <n v="257"/>
    <n v="1"/>
    <n v="0.33252195344361501"/>
    <n v="0.66747804655638399"/>
    <n v="1"/>
    <n v="1"/>
    <x v="5"/>
  </r>
  <r>
    <n v="74"/>
    <n v="1"/>
    <n v="0.33252591512111801"/>
    <n v="0.66747408487888105"/>
    <n v="1"/>
    <n v="1"/>
    <x v="5"/>
  </r>
  <r>
    <n v="169"/>
    <n v="1"/>
    <n v="0.33290418266782101"/>
    <n v="0.66709581733217804"/>
    <n v="1"/>
    <n v="1"/>
    <x v="5"/>
  </r>
  <r>
    <n v="121"/>
    <n v="1"/>
    <n v="0.33316374142997002"/>
    <n v="0.66683625857002904"/>
    <n v="1"/>
    <n v="1"/>
    <x v="5"/>
  </r>
  <r>
    <n v="217"/>
    <n v="1"/>
    <n v="0.33397925673477202"/>
    <n v="0.66602074326522798"/>
    <n v="1"/>
    <n v="1"/>
    <x v="5"/>
  </r>
  <r>
    <n v="69"/>
    <n v="1"/>
    <n v="0.33531155423528902"/>
    <n v="0.66468844576470998"/>
    <n v="1"/>
    <n v="1"/>
    <x v="5"/>
  </r>
  <r>
    <n v="320"/>
    <n v="1"/>
    <n v="0.33683371706656301"/>
    <n v="0.66316628293343605"/>
    <n v="1"/>
    <n v="1"/>
    <x v="5"/>
  </r>
  <r>
    <n v="261"/>
    <n v="1"/>
    <n v="0.33953936742927499"/>
    <n v="0.66046063257072396"/>
    <n v="1"/>
    <n v="1"/>
    <x v="5"/>
  </r>
  <r>
    <n v="202"/>
    <n v="1"/>
    <n v="0.34036807528809898"/>
    <n v="0.65963192471190002"/>
    <n v="1"/>
    <n v="1"/>
    <x v="5"/>
  </r>
  <r>
    <n v="259"/>
    <n v="1"/>
    <n v="0.34179201865543501"/>
    <n v="0.65820798134456404"/>
    <n v="1"/>
    <n v="1"/>
    <x v="5"/>
  </r>
  <r>
    <n v="199"/>
    <n v="1"/>
    <n v="0.34404270866895897"/>
    <n v="0.65595729133103997"/>
    <n v="1"/>
    <n v="1"/>
    <x v="5"/>
  </r>
  <r>
    <n v="366"/>
    <n v="0"/>
    <n v="0.34966680554516899"/>
    <n v="0.65033319445482995"/>
    <n v="1"/>
    <n v="0"/>
    <x v="5"/>
  </r>
  <r>
    <n v="102"/>
    <n v="0"/>
    <n v="0.35022183900291098"/>
    <n v="0.64977816099708796"/>
    <n v="1"/>
    <n v="0"/>
    <x v="5"/>
  </r>
  <r>
    <n v="111"/>
    <n v="0"/>
    <n v="0.351634587736596"/>
    <n v="0.64836541226340305"/>
    <n v="1"/>
    <n v="0"/>
    <x v="5"/>
  </r>
  <r>
    <n v="297"/>
    <n v="1"/>
    <n v="0.35419913857142499"/>
    <n v="0.64580086142857396"/>
    <n v="1"/>
    <n v="1"/>
    <x v="5"/>
  </r>
  <r>
    <n v="138"/>
    <n v="1"/>
    <n v="0.35504389074395398"/>
    <n v="0.64495610925604496"/>
    <n v="1"/>
    <n v="1"/>
    <x v="5"/>
  </r>
  <r>
    <n v="258"/>
    <n v="1"/>
    <n v="0.35882112486155499"/>
    <n v="0.64117887513844496"/>
    <n v="1"/>
    <n v="1"/>
    <x v="5"/>
  </r>
  <r>
    <n v="198"/>
    <n v="1"/>
    <n v="0.36020230592508801"/>
    <n v="0.63979769407491105"/>
    <n v="1"/>
    <n v="1"/>
    <x v="5"/>
  </r>
  <r>
    <n v="129"/>
    <n v="1"/>
    <n v="0.360303582094679"/>
    <n v="0.63969641790532095"/>
    <n v="1"/>
    <n v="1"/>
    <x v="5"/>
  </r>
  <r>
    <n v="381"/>
    <n v="1"/>
    <n v="0.360801501137202"/>
    <n v="0.639198498862797"/>
    <n v="1"/>
    <n v="1"/>
    <x v="5"/>
  </r>
  <r>
    <n v="206"/>
    <n v="1"/>
    <n v="0.36187059885015399"/>
    <n v="0.63812940114984495"/>
    <n v="1"/>
    <n v="1"/>
    <x v="5"/>
  </r>
  <r>
    <n v="383"/>
    <n v="0"/>
    <n v="0.36242433927902501"/>
    <n v="0.63757566072097405"/>
    <n v="1"/>
    <n v="0"/>
    <x v="5"/>
  </r>
  <r>
    <n v="79"/>
    <n v="1"/>
    <n v="0.36519773535169497"/>
    <n v="0.63480226464830403"/>
    <n v="1"/>
    <n v="1"/>
    <x v="6"/>
  </r>
  <r>
    <n v="174"/>
    <n v="1"/>
    <n v="0.36717398424111303"/>
    <n v="0.63282601575888597"/>
    <n v="1"/>
    <n v="1"/>
    <x v="6"/>
  </r>
  <r>
    <n v="214"/>
    <n v="1"/>
    <n v="0.37246639873509901"/>
    <n v="0.62753360126489999"/>
    <n v="1"/>
    <n v="1"/>
    <x v="6"/>
  </r>
  <r>
    <n v="2"/>
    <n v="1"/>
    <n v="0.37313482853214602"/>
    <n v="0.62686517146785303"/>
    <n v="1"/>
    <n v="1"/>
    <x v="6"/>
  </r>
  <r>
    <n v="323"/>
    <n v="1"/>
    <n v="0.37448994398639801"/>
    <n v="0.62551005601360199"/>
    <n v="1"/>
    <n v="1"/>
    <x v="6"/>
  </r>
  <r>
    <n v="209"/>
    <n v="1"/>
    <n v="0.37480688782848398"/>
    <n v="0.62519311217151496"/>
    <n v="1"/>
    <n v="1"/>
    <x v="6"/>
  </r>
  <r>
    <n v="19"/>
    <n v="1"/>
    <n v="0.37533076811223998"/>
    <n v="0.62466923188775902"/>
    <n v="1"/>
    <n v="1"/>
    <x v="6"/>
  </r>
  <r>
    <n v="119"/>
    <n v="0"/>
    <n v="0.37614659168917403"/>
    <n v="0.62385340831082503"/>
    <n v="1"/>
    <n v="0"/>
    <x v="6"/>
  </r>
  <r>
    <n v="103"/>
    <n v="1"/>
    <n v="0.37900338060171501"/>
    <n v="0.62099661939828399"/>
    <n v="1"/>
    <n v="1"/>
    <x v="6"/>
  </r>
  <r>
    <n v="231"/>
    <n v="1"/>
    <n v="0.38145424209809498"/>
    <n v="0.61854575790190403"/>
    <n v="1"/>
    <n v="1"/>
    <x v="6"/>
  </r>
  <r>
    <n v="253"/>
    <n v="1"/>
    <n v="0.38408044177670497"/>
    <n v="0.61591955822329403"/>
    <n v="1"/>
    <n v="1"/>
    <x v="6"/>
  </r>
  <r>
    <n v="370"/>
    <n v="1"/>
    <n v="0.38412705961094001"/>
    <n v="0.61587294038905904"/>
    <n v="1"/>
    <n v="1"/>
    <x v="6"/>
  </r>
  <r>
    <n v="86"/>
    <n v="1"/>
    <n v="0.38874413422845"/>
    <n v="0.611255865771549"/>
    <n v="1"/>
    <n v="1"/>
    <x v="6"/>
  </r>
  <r>
    <n v="40"/>
    <n v="0"/>
    <n v="0.38915530580473101"/>
    <n v="0.61084469419526799"/>
    <n v="1"/>
    <n v="0"/>
    <x v="6"/>
  </r>
  <r>
    <n v="154"/>
    <n v="0"/>
    <n v="0.38965652511280502"/>
    <n v="0.61034347488719398"/>
    <n v="1"/>
    <n v="0"/>
    <x v="6"/>
  </r>
  <r>
    <n v="146"/>
    <n v="1"/>
    <n v="0.39271216693817601"/>
    <n v="0.60728783306182299"/>
    <n v="1"/>
    <n v="1"/>
    <x v="6"/>
  </r>
  <r>
    <n v="386"/>
    <n v="0"/>
    <n v="0.39290176906390001"/>
    <n v="0.60709823093609905"/>
    <n v="1"/>
    <n v="0"/>
    <x v="6"/>
  </r>
  <r>
    <n v="49"/>
    <n v="1"/>
    <n v="0.40276566195411301"/>
    <n v="0.59723433804588599"/>
    <n v="1"/>
    <n v="1"/>
    <x v="6"/>
  </r>
  <r>
    <n v="256"/>
    <n v="1"/>
    <n v="0.403148640243434"/>
    <n v="0.596851359756565"/>
    <n v="1"/>
    <n v="1"/>
    <x v="6"/>
  </r>
  <r>
    <n v="299"/>
    <n v="0"/>
    <n v="0.40467611180049401"/>
    <n v="0.59532388819950499"/>
    <n v="1"/>
    <n v="0"/>
    <x v="6"/>
  </r>
  <r>
    <n v="96"/>
    <n v="1"/>
    <n v="0.404889617997508"/>
    <n v="0.595110382002491"/>
    <n v="1"/>
    <n v="1"/>
    <x v="6"/>
  </r>
  <r>
    <n v="277"/>
    <n v="1"/>
    <n v="0.406092544147795"/>
    <n v="0.59390745585220395"/>
    <n v="1"/>
    <n v="1"/>
    <x v="6"/>
  </r>
  <r>
    <n v="78"/>
    <n v="1"/>
    <n v="0.40677009417979199"/>
    <n v="0.59322990582020696"/>
    <n v="1"/>
    <n v="1"/>
    <x v="6"/>
  </r>
  <r>
    <n v="300"/>
    <n v="1"/>
    <n v="0.40703652695507297"/>
    <n v="0.59296347304492603"/>
    <n v="1"/>
    <n v="1"/>
    <x v="6"/>
  </r>
  <r>
    <n v="312"/>
    <n v="0"/>
    <n v="0.40983085955818799"/>
    <n v="0.59016914044181101"/>
    <n v="1"/>
    <n v="0"/>
    <x v="6"/>
  </r>
  <r>
    <n v="361"/>
    <n v="1"/>
    <n v="0.41009599632030103"/>
    <n v="0.58990400367969797"/>
    <n v="1"/>
    <n v="1"/>
    <x v="6"/>
  </r>
  <r>
    <n v="26"/>
    <n v="1"/>
    <n v="0.41040746297325498"/>
    <n v="0.58959253702674397"/>
    <n v="1"/>
    <n v="1"/>
    <x v="6"/>
  </r>
  <r>
    <n v="186"/>
    <n v="1"/>
    <n v="0.41506780110979002"/>
    <n v="0.58493219889020898"/>
    <n v="1"/>
    <n v="1"/>
    <x v="6"/>
  </r>
  <r>
    <n v="227"/>
    <n v="1"/>
    <n v="0.41692655978883802"/>
    <n v="0.58307344021116103"/>
    <n v="1"/>
    <n v="1"/>
    <x v="6"/>
  </r>
  <r>
    <n v="188"/>
    <n v="1"/>
    <n v="0.419284441852046"/>
    <n v="0.58071555814795295"/>
    <n v="1"/>
    <n v="1"/>
    <x v="6"/>
  </r>
  <r>
    <n v="316"/>
    <n v="1"/>
    <n v="0.41958265785267901"/>
    <n v="0.58041734214731999"/>
    <n v="1"/>
    <n v="1"/>
    <x v="6"/>
  </r>
  <r>
    <n v="387"/>
    <n v="0"/>
    <n v="0.42061007803986"/>
    <n v="0.57938992196013905"/>
    <n v="1"/>
    <n v="0"/>
    <x v="6"/>
  </r>
  <r>
    <n v="122"/>
    <n v="0"/>
    <n v="0.42084065872179399"/>
    <n v="0.57915934127820501"/>
    <n v="1"/>
    <n v="0"/>
    <x v="6"/>
  </r>
  <r>
    <n v="20"/>
    <n v="0"/>
    <n v="0.420856120362121"/>
    <n v="0.57914387963787795"/>
    <n v="1"/>
    <n v="0"/>
    <x v="6"/>
  </r>
  <r>
    <n v="319"/>
    <n v="0"/>
    <n v="0.42105988515153397"/>
    <n v="0.57894011484846497"/>
    <n v="1"/>
    <n v="0"/>
    <x v="6"/>
  </r>
  <r>
    <n v="339"/>
    <n v="1"/>
    <n v="0.42802902753623201"/>
    <n v="0.57197097246376705"/>
    <n v="1"/>
    <n v="1"/>
    <x v="6"/>
  </r>
  <r>
    <n v="63"/>
    <n v="1"/>
    <n v="0.431198767000112"/>
    <n v="0.56880123299988705"/>
    <n v="1"/>
    <n v="1"/>
    <x v="6"/>
  </r>
  <r>
    <n v="350"/>
    <n v="1"/>
    <n v="0.43237789482669697"/>
    <n v="0.56762210517330203"/>
    <n v="1"/>
    <n v="1"/>
    <x v="6"/>
  </r>
  <r>
    <n v="24"/>
    <n v="1"/>
    <n v="0.43409471053679699"/>
    <n v="0.56590528946320195"/>
    <n v="1"/>
    <n v="1"/>
    <x v="6"/>
  </r>
  <r>
    <n v="326"/>
    <n v="1"/>
    <n v="0.43517222180315002"/>
    <n v="0.56482777819684904"/>
    <n v="1"/>
    <n v="1"/>
    <x v="6"/>
  </r>
  <r>
    <n v="328"/>
    <n v="1"/>
    <n v="0.43757778714511097"/>
    <n v="0.56242221285488803"/>
    <n v="1"/>
    <n v="1"/>
    <x v="7"/>
  </r>
  <r>
    <n v="334"/>
    <n v="0"/>
    <n v="0.443993155584614"/>
    <n v="0.55600684441538495"/>
    <n v="1"/>
    <n v="0"/>
    <x v="7"/>
  </r>
  <r>
    <n v="163"/>
    <n v="1"/>
    <n v="0.44501333059346398"/>
    <n v="0.55498666940653496"/>
    <n v="1"/>
    <n v="1"/>
    <x v="7"/>
  </r>
  <r>
    <n v="390"/>
    <n v="1"/>
    <n v="0.44999501854929402"/>
    <n v="0.55000498145070598"/>
    <n v="1"/>
    <n v="1"/>
    <x v="7"/>
  </r>
  <r>
    <n v="82"/>
    <n v="1"/>
    <n v="0.45414094314373399"/>
    <n v="0.54585905685626501"/>
    <n v="1"/>
    <n v="1"/>
    <x v="7"/>
  </r>
  <r>
    <n v="265"/>
    <n v="1"/>
    <n v="0.45461313661081898"/>
    <n v="0.54538686338917997"/>
    <n v="1"/>
    <n v="1"/>
    <x v="7"/>
  </r>
  <r>
    <n v="220"/>
    <n v="1"/>
    <n v="0.45580682132009398"/>
    <n v="0.54419317867990502"/>
    <n v="1"/>
    <n v="1"/>
    <x v="7"/>
  </r>
  <r>
    <n v="342"/>
    <n v="0"/>
    <n v="0.45837929244292203"/>
    <n v="0.54162070755707703"/>
    <n v="1"/>
    <n v="0"/>
    <x v="7"/>
  </r>
  <r>
    <n v="313"/>
    <n v="0"/>
    <n v="0.46016692119865099"/>
    <n v="0.53983307880134801"/>
    <n v="1"/>
    <n v="0"/>
    <x v="7"/>
  </r>
  <r>
    <n v="315"/>
    <n v="0"/>
    <n v="0.460246149425933"/>
    <n v="0.539753850574066"/>
    <n v="1"/>
    <n v="0"/>
    <x v="7"/>
  </r>
  <r>
    <n v="252"/>
    <n v="1"/>
    <n v="0.460815389856161"/>
    <n v="0.53918461014383801"/>
    <n v="1"/>
    <n v="1"/>
    <x v="7"/>
  </r>
  <r>
    <n v="397"/>
    <n v="0"/>
    <n v="0.46133435036995002"/>
    <n v="0.53866564963004904"/>
    <n v="1"/>
    <n v="0"/>
    <x v="7"/>
  </r>
  <r>
    <n v="236"/>
    <n v="0"/>
    <n v="0.46355419166759299"/>
    <n v="0.53644580833240596"/>
    <n v="1"/>
    <n v="0"/>
    <x v="7"/>
  </r>
  <r>
    <n v="343"/>
    <n v="1"/>
    <n v="0.464936477228028"/>
    <n v="0.535063522771971"/>
    <n v="1"/>
    <n v="1"/>
    <x v="7"/>
  </r>
  <r>
    <n v="180"/>
    <n v="1"/>
    <n v="0.46684649874114398"/>
    <n v="0.53315350125885497"/>
    <n v="1"/>
    <n v="1"/>
    <x v="7"/>
  </r>
  <r>
    <n v="360"/>
    <n v="1"/>
    <n v="0.47309116483942099"/>
    <n v="0.52690883516057796"/>
    <n v="1"/>
    <n v="1"/>
    <x v="7"/>
  </r>
  <r>
    <n v="184"/>
    <n v="1"/>
    <n v="0.47569637223121702"/>
    <n v="0.52430362776878203"/>
    <n v="1"/>
    <n v="1"/>
    <x v="7"/>
  </r>
  <r>
    <n v="251"/>
    <n v="0"/>
    <n v="0.47736289163957002"/>
    <n v="0.52263710836042898"/>
    <n v="1"/>
    <n v="0"/>
    <x v="7"/>
  </r>
  <r>
    <n v="279"/>
    <n v="0"/>
    <n v="0.47817569459750597"/>
    <n v="0.52182430540249303"/>
    <n v="1"/>
    <n v="0"/>
    <x v="7"/>
  </r>
  <r>
    <n v="0"/>
    <n v="1"/>
    <n v="0.47917879496022198"/>
    <n v="0.52082120503977702"/>
    <n v="1"/>
    <n v="1"/>
    <x v="7"/>
  </r>
  <r>
    <n v="239"/>
    <n v="0"/>
    <n v="0.479211650366479"/>
    <n v="0.52078834963352005"/>
    <n v="1"/>
    <n v="0"/>
    <x v="7"/>
  </r>
  <r>
    <n v="178"/>
    <n v="1"/>
    <n v="0.48293966373122399"/>
    <n v="0.51706033626877501"/>
    <n v="1"/>
    <n v="1"/>
    <x v="7"/>
  </r>
  <r>
    <n v="10"/>
    <n v="1"/>
    <n v="0.484814554431381"/>
    <n v="0.51518544556861801"/>
    <n v="1"/>
    <n v="1"/>
    <x v="7"/>
  </r>
  <r>
    <n v="139"/>
    <n v="0"/>
    <n v="0.48579403022614398"/>
    <n v="0.51420596977385502"/>
    <n v="1"/>
    <n v="0"/>
    <x v="7"/>
  </r>
  <r>
    <n v="98"/>
    <n v="0"/>
    <n v="0.48924707307172799"/>
    <n v="0.51075292692827101"/>
    <n v="1"/>
    <n v="0"/>
    <x v="7"/>
  </r>
  <r>
    <n v="243"/>
    <n v="1"/>
    <n v="0.49115954554803998"/>
    <n v="0.50884045445195902"/>
    <n v="1"/>
    <n v="1"/>
    <x v="7"/>
  </r>
  <r>
    <n v="280"/>
    <n v="1"/>
    <n v="0.492064556855701"/>
    <n v="0.50793544314429795"/>
    <n v="1"/>
    <n v="1"/>
    <x v="7"/>
  </r>
  <r>
    <n v="18"/>
    <n v="0"/>
    <n v="0.49893371692821997"/>
    <n v="0.50106628307177903"/>
    <n v="1"/>
    <n v="0"/>
    <x v="7"/>
  </r>
  <r>
    <n v="196"/>
    <n v="1"/>
    <n v="0.49996779850686501"/>
    <n v="0.50003220149313399"/>
    <n v="1"/>
    <n v="1"/>
    <x v="7"/>
  </r>
  <r>
    <n v="28"/>
    <n v="1"/>
    <n v="0.50028208072713698"/>
    <n v="0.49971791927286202"/>
    <n v="0"/>
    <n v="0"/>
    <x v="7"/>
  </r>
  <r>
    <n v="29"/>
    <n v="1"/>
    <n v="0.50151153933103498"/>
    <n v="0.49848846066896402"/>
    <n v="0"/>
    <n v="0"/>
    <x v="7"/>
  </r>
  <r>
    <n v="210"/>
    <n v="0"/>
    <n v="0.50387210407711203"/>
    <n v="0.49612789592288797"/>
    <n v="0"/>
    <n v="0"/>
    <x v="7"/>
  </r>
  <r>
    <n v="322"/>
    <n v="0"/>
    <n v="0.50677657054531899"/>
    <n v="0.49322342945468001"/>
    <n v="0"/>
    <n v="0"/>
    <x v="7"/>
  </r>
  <r>
    <n v="376"/>
    <n v="1"/>
    <n v="0.50713081304568297"/>
    <n v="0.49286918695431597"/>
    <n v="0"/>
    <n v="0"/>
    <x v="7"/>
  </r>
  <r>
    <n v="355"/>
    <n v="0"/>
    <n v="0.51089785586324499"/>
    <n v="0.48910214413675401"/>
    <n v="0"/>
    <n v="0"/>
    <x v="7"/>
  </r>
  <r>
    <n v="108"/>
    <n v="0"/>
    <n v="0.51381634828274703"/>
    <n v="0.48618365171725197"/>
    <n v="0"/>
    <n v="0"/>
    <x v="7"/>
  </r>
  <r>
    <n v="6"/>
    <n v="1"/>
    <n v="0.51442454871687004"/>
    <n v="0.48557545128312901"/>
    <n v="0"/>
    <n v="0"/>
    <x v="7"/>
  </r>
  <r>
    <n v="363"/>
    <n v="0"/>
    <n v="0.51524994677824398"/>
    <n v="0.48475005322175502"/>
    <n v="0"/>
    <n v="0"/>
    <x v="7"/>
  </r>
  <r>
    <n v="162"/>
    <n v="1"/>
    <n v="0.51899216178449803"/>
    <n v="0.48100783821550103"/>
    <n v="0"/>
    <n v="0"/>
    <x v="7"/>
  </r>
  <r>
    <n v="159"/>
    <n v="1"/>
    <n v="0.52415741302443397"/>
    <n v="0.47584258697556497"/>
    <n v="0"/>
    <n v="0"/>
    <x v="7"/>
  </r>
  <r>
    <n v="385"/>
    <n v="1"/>
    <n v="0.52552482761053498"/>
    <n v="0.47447517238946402"/>
    <n v="0"/>
    <n v="0"/>
    <x v="8"/>
  </r>
  <r>
    <n v="289"/>
    <n v="0"/>
    <n v="0.53240914966711295"/>
    <n v="0.467590850332886"/>
    <n v="0"/>
    <n v="0"/>
    <x v="8"/>
  </r>
  <r>
    <n v="156"/>
    <n v="0"/>
    <n v="0.53400946481075595"/>
    <n v="0.46599053518924299"/>
    <n v="0"/>
    <n v="0"/>
    <x v="8"/>
  </r>
  <r>
    <n v="53"/>
    <n v="0"/>
    <n v="0.53799642141559001"/>
    <n v="0.46200357858440899"/>
    <n v="0"/>
    <n v="0"/>
    <x v="8"/>
  </r>
  <r>
    <n v="237"/>
    <n v="1"/>
    <n v="0.54223416007430103"/>
    <n v="0.45776583992569803"/>
    <n v="0"/>
    <n v="0"/>
    <x v="8"/>
  </r>
  <r>
    <n v="31"/>
    <n v="0"/>
    <n v="0.54661961512289503"/>
    <n v="0.45338038487710403"/>
    <n v="0"/>
    <n v="0"/>
    <x v="8"/>
  </r>
  <r>
    <n v="347"/>
    <n v="0"/>
    <n v="0.549494286802094"/>
    <n v="0.450505713197905"/>
    <n v="0"/>
    <n v="0"/>
    <x v="8"/>
  </r>
  <r>
    <n v="36"/>
    <n v="0"/>
    <n v="0.54962624187008802"/>
    <n v="0.45037375812991098"/>
    <n v="0"/>
    <n v="0"/>
    <x v="8"/>
  </r>
  <r>
    <n v="94"/>
    <n v="0"/>
    <n v="0.55328556234154003"/>
    <n v="0.44671443765845897"/>
    <n v="0"/>
    <n v="0"/>
    <x v="8"/>
  </r>
  <r>
    <n v="15"/>
    <n v="0"/>
    <n v="0.55402137857425005"/>
    <n v="0.44597862142574901"/>
    <n v="0"/>
    <n v="0"/>
    <x v="8"/>
  </r>
  <r>
    <n v="195"/>
    <n v="0"/>
    <n v="0.55408984271941697"/>
    <n v="0.44591015728058198"/>
    <n v="0"/>
    <n v="0"/>
    <x v="8"/>
  </r>
  <r>
    <n v="90"/>
    <n v="0"/>
    <n v="0.55746729042809795"/>
    <n v="0.442532709571901"/>
    <n v="0"/>
    <n v="0"/>
    <x v="8"/>
  </r>
  <r>
    <n v="272"/>
    <n v="0"/>
    <n v="0.55755742041737399"/>
    <n v="0.44244257958262501"/>
    <n v="0"/>
    <n v="0"/>
    <x v="8"/>
  </r>
  <r>
    <n v="120"/>
    <n v="0"/>
    <n v="0.56240842927651002"/>
    <n v="0.43759157072348898"/>
    <n v="0"/>
    <n v="0"/>
    <x v="8"/>
  </r>
  <r>
    <n v="157"/>
    <n v="0"/>
    <n v="0.56409911280301706"/>
    <n v="0.435900887196982"/>
    <n v="0"/>
    <n v="0"/>
    <x v="8"/>
  </r>
  <r>
    <n v="65"/>
    <n v="0"/>
    <n v="0.56585200155120496"/>
    <n v="0.43414799844879398"/>
    <n v="0"/>
    <n v="0"/>
    <x v="8"/>
  </r>
  <r>
    <n v="155"/>
    <n v="0"/>
    <n v="0.56842974929308798"/>
    <n v="0.43157025070691102"/>
    <n v="0"/>
    <n v="0"/>
    <x v="8"/>
  </r>
  <r>
    <n v="22"/>
    <n v="0"/>
    <n v="0.569553228035239"/>
    <n v="0.43044677196476"/>
    <n v="0"/>
    <n v="0"/>
    <x v="8"/>
  </r>
  <r>
    <n v="291"/>
    <n v="0"/>
    <n v="0.57189629354016902"/>
    <n v="0.42810370645982998"/>
    <n v="0"/>
    <n v="0"/>
    <x v="8"/>
  </r>
  <r>
    <n v="177"/>
    <n v="0"/>
    <n v="0.57251257493956198"/>
    <n v="0.42748742506043702"/>
    <n v="0"/>
    <n v="0"/>
    <x v="8"/>
  </r>
  <r>
    <n v="131"/>
    <n v="0"/>
    <n v="0.57297449365773701"/>
    <n v="0.42702550634226299"/>
    <n v="0"/>
    <n v="0"/>
    <x v="8"/>
  </r>
  <r>
    <n v="327"/>
    <n v="1"/>
    <n v="0.57363821820748795"/>
    <n v="0.426361781792512"/>
    <n v="0"/>
    <n v="0"/>
    <x v="8"/>
  </r>
  <r>
    <n v="282"/>
    <n v="0"/>
    <n v="0.581315980488193"/>
    <n v="0.418684019511806"/>
    <n v="0"/>
    <n v="0"/>
    <x v="8"/>
  </r>
  <r>
    <n v="211"/>
    <n v="0"/>
    <n v="0.58372538605829905"/>
    <n v="0.41627461394170001"/>
    <n v="0"/>
    <n v="0"/>
    <x v="8"/>
  </r>
  <r>
    <n v="56"/>
    <n v="0"/>
    <n v="0.58668245911982098"/>
    <n v="0.41331754088017802"/>
    <n v="0"/>
    <n v="0"/>
    <x v="8"/>
  </r>
  <r>
    <n v="32"/>
    <n v="0"/>
    <n v="0.58764472458003303"/>
    <n v="0.41235527541996603"/>
    <n v="0"/>
    <n v="0"/>
    <x v="8"/>
  </r>
  <r>
    <n v="269"/>
    <n v="0"/>
    <n v="0.58857271255664101"/>
    <n v="0.41142728744335799"/>
    <n v="0"/>
    <n v="0"/>
    <x v="8"/>
  </r>
  <r>
    <n v="365"/>
    <n v="0"/>
    <n v="0.59699831635998601"/>
    <n v="0.40300168364001299"/>
    <n v="0"/>
    <n v="0"/>
    <x v="8"/>
  </r>
  <r>
    <n v="233"/>
    <n v="1"/>
    <n v="0.59835038011520503"/>
    <n v="0.40164961988479497"/>
    <n v="0"/>
    <n v="0"/>
    <x v="8"/>
  </r>
  <r>
    <n v="263"/>
    <n v="0"/>
    <n v="0.60165637151364404"/>
    <n v="0.39834362848635502"/>
    <n v="0"/>
    <n v="0"/>
    <x v="8"/>
  </r>
  <r>
    <n v="161"/>
    <n v="0"/>
    <n v="0.60562783860859004"/>
    <n v="0.39437216139140902"/>
    <n v="0"/>
    <n v="0"/>
    <x v="8"/>
  </r>
  <r>
    <n v="399"/>
    <n v="0"/>
    <n v="0.61225365250215802"/>
    <n v="0.38774634749784098"/>
    <n v="0"/>
    <n v="0"/>
    <x v="8"/>
  </r>
  <r>
    <n v="97"/>
    <n v="0"/>
    <n v="0.61727408366533698"/>
    <n v="0.38272591633466202"/>
    <n v="0"/>
    <n v="0"/>
    <x v="8"/>
  </r>
  <r>
    <n v="329"/>
    <n v="0"/>
    <n v="0.61796354702745404"/>
    <n v="0.38203645297254502"/>
    <n v="0"/>
    <n v="0"/>
    <x v="8"/>
  </r>
  <r>
    <n v="171"/>
    <n v="0"/>
    <n v="0.61914961331369101"/>
    <n v="0.380850386686308"/>
    <n v="0"/>
    <n v="0"/>
    <x v="8"/>
  </r>
  <r>
    <n v="41"/>
    <n v="0"/>
    <n v="0.62488082507515696"/>
    <n v="0.37511917492484198"/>
    <n v="0"/>
    <n v="0"/>
    <x v="8"/>
  </r>
  <r>
    <n v="389"/>
    <n v="0"/>
    <n v="0.62624388458754698"/>
    <n v="0.37375611541245202"/>
    <n v="0"/>
    <n v="0"/>
    <x v="8"/>
  </r>
  <r>
    <n v="3"/>
    <n v="0"/>
    <n v="0.62976815584399404"/>
    <n v="0.37023184415600502"/>
    <n v="0"/>
    <n v="0"/>
    <x v="8"/>
  </r>
  <r>
    <n v="267"/>
    <n v="1"/>
    <n v="0.63542216780036598"/>
    <n v="0.36457783219963302"/>
    <n v="0"/>
    <n v="0"/>
    <x v="8"/>
  </r>
  <r>
    <n v="21"/>
    <n v="0"/>
    <n v="0.64118633775858003"/>
    <n v="0.35881366224141897"/>
    <n v="0"/>
    <n v="0"/>
    <x v="8"/>
  </r>
  <r>
    <n v="307"/>
    <n v="0"/>
    <n v="0.65194753076888401"/>
    <n v="0.34805246923111499"/>
    <n v="0"/>
    <n v="0"/>
    <x v="9"/>
  </r>
  <r>
    <n v="288"/>
    <n v="0"/>
    <n v="0.65339672797952197"/>
    <n v="0.34660327202047703"/>
    <n v="0"/>
    <n v="0"/>
    <x v="9"/>
  </r>
  <r>
    <n v="273"/>
    <n v="1"/>
    <n v="0.65647768033153198"/>
    <n v="0.34352231966846702"/>
    <n v="0"/>
    <n v="0"/>
    <x v="9"/>
  </r>
  <r>
    <n v="149"/>
    <n v="0"/>
    <n v="0.65950496640613998"/>
    <n v="0.34049503359385902"/>
    <n v="0"/>
    <n v="0"/>
    <x v="9"/>
  </r>
  <r>
    <n v="64"/>
    <n v="1"/>
    <n v="0.65975580911763299"/>
    <n v="0.34024419088236602"/>
    <n v="0"/>
    <n v="0"/>
    <x v="9"/>
  </r>
  <r>
    <n v="143"/>
    <n v="0"/>
    <n v="0.66650289179223299"/>
    <n v="0.33349710820776601"/>
    <n v="0"/>
    <n v="0"/>
    <x v="9"/>
  </r>
  <r>
    <n v="57"/>
    <n v="0"/>
    <n v="0.66865401022957904"/>
    <n v="0.33134598977042001"/>
    <n v="0"/>
    <n v="0"/>
    <x v="9"/>
  </r>
  <r>
    <n v="77"/>
    <n v="0"/>
    <n v="0.67682613641658396"/>
    <n v="0.32317386358341499"/>
    <n v="0"/>
    <n v="0"/>
    <x v="9"/>
  </r>
  <r>
    <n v="60"/>
    <n v="1"/>
    <n v="0.68039890368967304"/>
    <n v="0.31960109631032602"/>
    <n v="0"/>
    <n v="0"/>
    <x v="9"/>
  </r>
  <r>
    <n v="43"/>
    <n v="0"/>
    <n v="0.68414390250879997"/>
    <n v="0.31585609749119897"/>
    <n v="0"/>
    <n v="0"/>
    <x v="9"/>
  </r>
  <r>
    <n v="46"/>
    <n v="0"/>
    <n v="0.68912603776733605"/>
    <n v="0.310873962232663"/>
    <n v="0"/>
    <n v="0"/>
    <x v="9"/>
  </r>
  <r>
    <n v="164"/>
    <n v="0"/>
    <n v="0.69092089518739497"/>
    <n v="0.30907910481260398"/>
    <n v="0"/>
    <n v="0"/>
    <x v="9"/>
  </r>
  <r>
    <n v="179"/>
    <n v="0"/>
    <n v="0.69551089254609799"/>
    <n v="0.30448910745390101"/>
    <n v="0"/>
    <n v="0"/>
    <x v="9"/>
  </r>
  <r>
    <n v="175"/>
    <n v="0"/>
    <n v="0.69629452308208795"/>
    <n v="0.303705476917911"/>
    <n v="0"/>
    <n v="0"/>
    <x v="9"/>
  </r>
  <r>
    <n v="344"/>
    <n v="0"/>
    <n v="0.69665244823072903"/>
    <n v="0.30334755176926997"/>
    <n v="0"/>
    <n v="0"/>
    <x v="9"/>
  </r>
  <r>
    <n v="151"/>
    <n v="1"/>
    <n v="0.69769425226210302"/>
    <n v="0.30230574773789598"/>
    <n v="0"/>
    <n v="0"/>
    <x v="9"/>
  </r>
  <r>
    <n v="374"/>
    <n v="0"/>
    <n v="0.69788228181596701"/>
    <n v="0.30211771818403199"/>
    <n v="0"/>
    <n v="0"/>
    <x v="9"/>
  </r>
  <r>
    <n v="67"/>
    <n v="0"/>
    <n v="0.69867962252586402"/>
    <n v="0.30132037747413498"/>
    <n v="0"/>
    <n v="0"/>
    <x v="9"/>
  </r>
  <r>
    <n v="51"/>
    <n v="0"/>
    <n v="0.70495768466030795"/>
    <n v="0.295042315339691"/>
    <n v="0"/>
    <n v="0"/>
    <x v="9"/>
  </r>
  <r>
    <n v="246"/>
    <n v="0"/>
    <n v="0.70668992579615797"/>
    <n v="0.29331007420384198"/>
    <n v="0"/>
    <n v="0"/>
    <x v="9"/>
  </r>
  <r>
    <n v="133"/>
    <n v="0"/>
    <n v="0.70820036920719098"/>
    <n v="0.29179963079280802"/>
    <n v="0"/>
    <n v="0"/>
    <x v="9"/>
  </r>
  <r>
    <n v="62"/>
    <n v="1"/>
    <n v="0.70994477938834299"/>
    <n v="0.29005522061165601"/>
    <n v="0"/>
    <n v="0"/>
    <x v="9"/>
  </r>
  <r>
    <n v="1"/>
    <n v="1"/>
    <n v="0.71976402939073203"/>
    <n v="0.28023597060926703"/>
    <n v="0"/>
    <n v="0"/>
    <x v="9"/>
  </r>
  <r>
    <n v="127"/>
    <n v="1"/>
    <n v="0.720072153616232"/>
    <n v="0.279927846383767"/>
    <n v="0"/>
    <n v="0"/>
    <x v="9"/>
  </r>
  <r>
    <n v="368"/>
    <n v="0"/>
    <n v="0.72274873403993301"/>
    <n v="0.277251265960066"/>
    <n v="0"/>
    <n v="0"/>
    <x v="9"/>
  </r>
  <r>
    <n v="264"/>
    <n v="0"/>
    <n v="0.72339284582967001"/>
    <n v="0.27660715417032899"/>
    <n v="0"/>
    <n v="0"/>
    <x v="9"/>
  </r>
  <r>
    <n v="318"/>
    <n v="0"/>
    <n v="0.74440235035125202"/>
    <n v="0.25559764964874698"/>
    <n v="0"/>
    <n v="0"/>
    <x v="9"/>
  </r>
  <r>
    <n v="16"/>
    <n v="1"/>
    <n v="0.74606387404385499"/>
    <n v="0.25393612595614401"/>
    <n v="0"/>
    <n v="0"/>
    <x v="9"/>
  </r>
  <r>
    <n v="181"/>
    <n v="0"/>
    <n v="0.75312170932141098"/>
    <n v="0.24687829067858799"/>
    <n v="0"/>
    <n v="0"/>
    <x v="9"/>
  </r>
  <r>
    <n v="234"/>
    <n v="0"/>
    <n v="0.75672824354326695"/>
    <n v="0.24327175645673199"/>
    <n v="0"/>
    <n v="0"/>
    <x v="9"/>
  </r>
  <r>
    <n v="136"/>
    <n v="0"/>
    <n v="0.75702518889234005"/>
    <n v="0.24297481110765901"/>
    <n v="0"/>
    <n v="0"/>
    <x v="9"/>
  </r>
  <r>
    <n v="141"/>
    <n v="0"/>
    <n v="0.76025575181913996"/>
    <n v="0.23974424818085899"/>
    <n v="0"/>
    <n v="0"/>
    <x v="9"/>
  </r>
  <r>
    <n v="105"/>
    <n v="0"/>
    <n v="0.76031332844253696"/>
    <n v="0.23968667155746201"/>
    <n v="0"/>
    <n v="0"/>
    <x v="9"/>
  </r>
  <r>
    <n v="106"/>
    <n v="0"/>
    <n v="0.765516263403206"/>
    <n v="0.234483736596793"/>
    <n v="0"/>
    <n v="0"/>
    <x v="9"/>
  </r>
  <r>
    <n v="356"/>
    <n v="1"/>
    <n v="0.76663505665523601"/>
    <n v="0.23336494334476299"/>
    <n v="0"/>
    <n v="0"/>
    <x v="9"/>
  </r>
  <r>
    <n v="52"/>
    <n v="0"/>
    <n v="0.76692651002603096"/>
    <n v="0.23307348997396801"/>
    <n v="0"/>
    <n v="0"/>
    <x v="9"/>
  </r>
  <r>
    <n v="7"/>
    <n v="0"/>
    <n v="0.77347535673464496"/>
    <n v="0.22652464326535399"/>
    <n v="0"/>
    <n v="0"/>
    <x v="9"/>
  </r>
  <r>
    <n v="341"/>
    <n v="0"/>
    <n v="0.80794744749740299"/>
    <n v="0.19205255250259601"/>
    <n v="0"/>
    <n v="0"/>
    <x v="9"/>
  </r>
  <r>
    <n v="330"/>
    <n v="0"/>
    <n v="0.82158174384212701"/>
    <n v="0.17841825615787199"/>
    <n v="0"/>
    <n v="0"/>
    <x v="9"/>
  </r>
  <r>
    <n v="384"/>
    <n v="0"/>
    <n v="0.82503400713532005"/>
    <n v="0.17496599286467901"/>
    <n v="0"/>
    <n v="0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63CDFC-DF88-C74D-8AF0-219FA876DE04}" name="PivotTable1" cacheId="3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rowHeaderCaption="Decile">
  <location ref="A3:D14" firstHeaderRow="0" firstDataRow="1" firstDataCol="1"/>
  <pivotFields count="7">
    <pivotField showAll="0"/>
    <pivotField dataField="1" showAll="0"/>
    <pivotField numFmtId="10" showAll="0"/>
    <pivotField dataField="1" numFmtId="10" showAll="0"/>
    <pivotField showAll="0"/>
    <pivotField showAll="0"/>
    <pivotField axis="axisRow" dataField="1" showAll="0" sortType="ascending">
      <items count="11"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Decile" fld="6" subtotal="count" baseField="0" baseItem="0"/>
    <dataField name="Number of Actual Defaults" fld="1" baseField="0" baseItem="0"/>
    <dataField name="Min of Probability_Default" fld="3" subtotal="min" baseField="0" baseItem="0" numFmtId="10"/>
  </dataFields>
  <formats count="2">
    <format dxfId="10">
      <pivotArea collapsedLevelsAreSubtotals="1" fieldPosition="0">
        <references count="2">
          <reference field="4294967294" count="1" selected="0">
            <x v="2"/>
          </reference>
          <reference field="6" count="1">
            <x v="1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6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" connectionId="1" xr16:uid="{9CD43543-71DA-BE45-BDDA-81577C54F7A4}" autoFormatId="16" applyNumberFormats="0" applyBorderFormats="0" applyFontFormats="1" applyPatternFormats="1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A61614-C026-F049-8D7D-B2C5D987FC7D}" name="Table1" displayName="Table1" ref="A1:G401" totalsRowShown="0" headerRowDxfId="5">
  <autoFilter ref="A1:G401" xr:uid="{00A61614-C026-F049-8D7D-B2C5D987FC7D}"/>
  <sortState xmlns:xlrd2="http://schemas.microsoft.com/office/spreadsheetml/2017/richdata2" ref="A2:E401">
    <sortCondition descending="1" ref="D1:D401"/>
  </sortState>
  <tableColumns count="7">
    <tableColumn id="1" xr3:uid="{A33D2E8F-C4FE-744C-B6EA-6D08D082939C}" name="index"/>
    <tableColumn id="2" xr3:uid="{B6ED8025-A452-0545-83F5-078527E9E23D}" name="Actual Outcome"/>
    <tableColumn id="3" xr3:uid="{482B43F2-766E-4344-A44D-179FE0BFAA6E}" name="Probability_Safe" dataDxfId="4" dataCellStyle="Percent"/>
    <tableColumn id="4" xr3:uid="{797E6CBE-CC91-DD44-BA30-CDAD50AEEDE6}" name="Probability_Default" dataDxfId="3" dataCellStyle="Percent"/>
    <tableColumn id="5" xr3:uid="{8F649A08-FC6F-404F-ADA2-2B66671FF421}" name="Predicted Outcome"/>
    <tableColumn id="8" xr3:uid="{B81D5698-9F0B-9B45-A8E1-F4463C47F39B}" name="True Positive" dataDxfId="2">
      <calculatedColumnFormula>IF(AND(Table1[[#This Row],[Predicted Outcome]]=1,Table1[[#This Row],[Actual Outcome]]=1),1,0)</calculatedColumnFormula>
    </tableColumn>
    <tableColumn id="7" xr3:uid="{47E82062-EA15-D14E-9771-A0661A0DD882}" name="Decile" dataDxfId="1">
      <calculatedColumnFormula array="1">_xlfn.XLOOKUP(MAX(IF(Table2[Probability_Default]&lt;Table1[[#This Row],[Probability_Default]],Table2[Probability_Default])),Table2[Probability_Default],Table2[Decile],0)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7FE4D2D-295A-FD43-B1A1-4828D3A56142}" name="Table2" displayName="Table2" ref="J1:K10" totalsRowShown="0">
  <autoFilter ref="J1:K10" xr:uid="{67FE4D2D-295A-FD43-B1A1-4828D3A56142}"/>
  <tableColumns count="2">
    <tableColumn id="1" xr3:uid="{85908CF2-458E-DC4E-9C8D-DD7ACB04BE26}" name="Decile"/>
    <tableColumn id="2" xr3:uid="{829CD0D6-0304-6044-B4C2-6E080E4914FE}" name="Probability_Default" dataDxfId="0" dataCellStyle="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9D9AFC-3903-3645-AE13-55193800D1E4}" name="Table5" displayName="Table5" ref="A3:F43" totalsRowShown="0">
  <autoFilter ref="A3:F43" xr:uid="{3D9D9AFC-3903-3645-AE13-55193800D1E4}"/>
  <tableColumns count="6">
    <tableColumn id="1" xr3:uid="{9C15FDCE-BBA5-C449-9801-7584E9B9F5D7}" name="index"/>
    <tableColumn id="2" xr3:uid="{8127E5B5-8979-6D43-8EA5-A1A84CC39683}" name="Actual Outcome"/>
    <tableColumn id="3" xr3:uid="{7F4D4CD6-10FC-AD47-A191-FB5520915F12}" name="Probability_Safe"/>
    <tableColumn id="4" xr3:uid="{2E889872-2204-7143-8A07-52C4FEDAB568}" name="Probability_Default"/>
    <tableColumn id="5" xr3:uid="{C184813D-CFD8-CC4B-B166-E7D5F9DE06C7}" name="Predicted Outcome"/>
    <tableColumn id="6" xr3:uid="{0D27E0B2-F867-9841-AE1C-C332A807608F}" name="Deci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379AB9-B0F3-3E41-AC7C-61390477108B}" name="Table3" displayName="Table3" ref="G3:L13" totalsRowShown="0">
  <autoFilter ref="G3:L13" xr:uid="{A3379AB9-B0F3-3E41-AC7C-61390477108B}"/>
  <tableColumns count="6">
    <tableColumn id="1" xr3:uid="{CA1DA26B-5353-2849-94A6-0E6C38A8DF67}" name="Number of Safe Loans">
      <calculatedColumnFormula>B4-C4</calculatedColumnFormula>
    </tableColumn>
    <tableColumn id="3" xr3:uid="{4DF9A59C-7522-3B4F-9E93-B8FD4567A10D}" name="Cumulative Defaults">
      <calculatedColumnFormula>SUM($C$4:C4)</calculatedColumnFormula>
    </tableColumn>
    <tableColumn id="5" xr3:uid="{0B23C047-C32D-3A4B-BD60-B8C615AA7BB4}" name="Cumulative % of Defaults" dataDxfId="8" dataCellStyle="Percent">
      <calculatedColumnFormula>(H4)/$H$13</calculatedColumnFormula>
    </tableColumn>
    <tableColumn id="2" xr3:uid="{F7D20E3F-556C-1940-82F2-43B673E2D5D4}" name="Cumulative Safe Loans">
      <calculatedColumnFormula>SUM($G$4:G4)</calculatedColumnFormula>
    </tableColumn>
    <tableColumn id="6" xr3:uid="{828E05FA-42DB-2D44-82BC-3CE97F0BCB66}" name="Cumulative % of Safe Loans" dataDxfId="7" dataCellStyle="Percent">
      <calculatedColumnFormula>(J4)/$J$13</calculatedColumnFormula>
    </tableColumn>
    <tableColumn id="4" xr3:uid="{B38B3630-1B13-C646-85B9-356D48FF1C8B}" name="Total Profit" dataDxfId="6" dataCellStyle="Percent">
      <calculatedColumnFormula>Table3[[#This Row],[Cumulative Safe Loans]]*$I$18-Table3[[#This Row],[Cumulative Defaults]]*$I$17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1814-CAF3-4241-8867-570C78A6154D}">
  <dimension ref="A1:E401"/>
  <sheetViews>
    <sheetView workbookViewId="0">
      <selection activeCell="G27" sqref="G27"/>
    </sheetView>
  </sheetViews>
  <sheetFormatPr baseColWidth="10" defaultRowHeight="16" x14ac:dyDescent="0.2"/>
  <cols>
    <col min="1" max="1" width="9" customWidth="1"/>
    <col min="2" max="2" width="12.5" customWidth="1"/>
    <col min="3" max="3" width="18" customWidth="1"/>
    <col min="4" max="4" width="18.83203125" customWidth="1"/>
    <col min="5" max="5" width="10.5" customWidth="1"/>
  </cols>
  <sheetData>
    <row r="1" spans="1:5" x14ac:dyDescent="0.2">
      <c r="A1" s="1" t="s">
        <v>2</v>
      </c>
      <c r="B1" s="1" t="s">
        <v>0</v>
      </c>
      <c r="C1" s="1" t="s">
        <v>3</v>
      </c>
      <c r="D1" s="1" t="s">
        <v>4</v>
      </c>
      <c r="E1" s="1" t="s">
        <v>1</v>
      </c>
    </row>
    <row r="2" spans="1:5" x14ac:dyDescent="0.2">
      <c r="A2">
        <f>0</f>
        <v>0</v>
      </c>
      <c r="B2">
        <v>1</v>
      </c>
      <c r="C2">
        <v>0.47917879496022198</v>
      </c>
      <c r="D2">
        <v>0.52082120503977702</v>
      </c>
      <c r="E2">
        <v>1</v>
      </c>
    </row>
    <row r="3" spans="1:5" x14ac:dyDescent="0.2">
      <c r="A3">
        <f>A2+1</f>
        <v>1</v>
      </c>
      <c r="B3">
        <v>1</v>
      </c>
      <c r="C3">
        <v>0.71976402939073203</v>
      </c>
      <c r="D3">
        <v>0.28023597060926703</v>
      </c>
      <c r="E3">
        <v>0</v>
      </c>
    </row>
    <row r="4" spans="1:5" x14ac:dyDescent="0.2">
      <c r="A4">
        <f t="shared" ref="A4:A67" si="0">A3+1</f>
        <v>2</v>
      </c>
      <c r="B4">
        <v>1</v>
      </c>
      <c r="C4">
        <v>0.37313482853214602</v>
      </c>
      <c r="D4">
        <v>0.62686517146785303</v>
      </c>
      <c r="E4">
        <v>1</v>
      </c>
    </row>
    <row r="5" spans="1:5" x14ac:dyDescent="0.2">
      <c r="A5">
        <f t="shared" si="0"/>
        <v>3</v>
      </c>
      <c r="B5">
        <v>0</v>
      </c>
      <c r="C5">
        <v>0.62976815584399404</v>
      </c>
      <c r="D5">
        <v>0.37023184415600502</v>
      </c>
      <c r="E5">
        <v>0</v>
      </c>
    </row>
    <row r="6" spans="1:5" x14ac:dyDescent="0.2">
      <c r="A6">
        <f t="shared" si="0"/>
        <v>4</v>
      </c>
      <c r="B6">
        <v>1</v>
      </c>
      <c r="C6">
        <v>0.232119132161165</v>
      </c>
      <c r="D6">
        <v>0.76788086783883402</v>
      </c>
      <c r="E6">
        <v>1</v>
      </c>
    </row>
    <row r="7" spans="1:5" x14ac:dyDescent="0.2">
      <c r="A7">
        <f t="shared" si="0"/>
        <v>5</v>
      </c>
      <c r="B7">
        <v>0</v>
      </c>
      <c r="C7">
        <v>6.6907890345421397E-2</v>
      </c>
      <c r="D7">
        <v>0.93309210965457801</v>
      </c>
      <c r="E7">
        <v>1</v>
      </c>
    </row>
    <row r="8" spans="1:5" x14ac:dyDescent="0.2">
      <c r="A8">
        <f t="shared" si="0"/>
        <v>6</v>
      </c>
      <c r="B8">
        <v>1</v>
      </c>
      <c r="C8">
        <v>0.51442454871687004</v>
      </c>
      <c r="D8">
        <v>0.48557545128312901</v>
      </c>
      <c r="E8">
        <v>0</v>
      </c>
    </row>
    <row r="9" spans="1:5" x14ac:dyDescent="0.2">
      <c r="A9">
        <f t="shared" si="0"/>
        <v>7</v>
      </c>
      <c r="B9">
        <v>0</v>
      </c>
      <c r="C9">
        <v>0.77347535673464496</v>
      </c>
      <c r="D9">
        <v>0.22652464326535399</v>
      </c>
      <c r="E9">
        <v>0</v>
      </c>
    </row>
    <row r="10" spans="1:5" x14ac:dyDescent="0.2">
      <c r="A10">
        <f t="shared" si="0"/>
        <v>8</v>
      </c>
      <c r="B10">
        <v>1</v>
      </c>
      <c r="C10">
        <v>0.132515134311087</v>
      </c>
      <c r="D10">
        <v>0.86748486568891203</v>
      </c>
      <c r="E10">
        <v>1</v>
      </c>
    </row>
    <row r="11" spans="1:5" x14ac:dyDescent="0.2">
      <c r="A11">
        <f t="shared" si="0"/>
        <v>9</v>
      </c>
      <c r="B11">
        <v>1</v>
      </c>
      <c r="C11">
        <v>0.144444899221119</v>
      </c>
      <c r="D11">
        <v>0.85555510077887997</v>
      </c>
      <c r="E11">
        <v>1</v>
      </c>
    </row>
    <row r="12" spans="1:5" x14ac:dyDescent="0.2">
      <c r="A12">
        <f t="shared" si="0"/>
        <v>10</v>
      </c>
      <c r="B12">
        <v>1</v>
      </c>
      <c r="C12">
        <v>0.484814554431381</v>
      </c>
      <c r="D12">
        <v>0.51518544556861801</v>
      </c>
      <c r="E12">
        <v>1</v>
      </c>
    </row>
    <row r="13" spans="1:5" x14ac:dyDescent="0.2">
      <c r="A13">
        <f t="shared" si="0"/>
        <v>11</v>
      </c>
      <c r="B13">
        <v>1</v>
      </c>
      <c r="C13">
        <v>0.13460563458031799</v>
      </c>
      <c r="D13">
        <v>0.86539436541968096</v>
      </c>
      <c r="E13">
        <v>1</v>
      </c>
    </row>
    <row r="14" spans="1:5" x14ac:dyDescent="0.2">
      <c r="A14">
        <f t="shared" si="0"/>
        <v>12</v>
      </c>
      <c r="B14">
        <v>1</v>
      </c>
      <c r="C14">
        <v>0.329647406718653</v>
      </c>
      <c r="D14">
        <v>0.670352593281346</v>
      </c>
      <c r="E14">
        <v>1</v>
      </c>
    </row>
    <row r="15" spans="1:5" x14ac:dyDescent="0.2">
      <c r="A15">
        <f t="shared" si="0"/>
        <v>13</v>
      </c>
      <c r="B15">
        <v>1</v>
      </c>
      <c r="C15">
        <v>0.124641159433229</v>
      </c>
      <c r="D15">
        <v>0.87535884056677005</v>
      </c>
      <c r="E15">
        <v>1</v>
      </c>
    </row>
    <row r="16" spans="1:5" x14ac:dyDescent="0.2">
      <c r="A16">
        <f t="shared" si="0"/>
        <v>14</v>
      </c>
      <c r="B16">
        <v>0</v>
      </c>
      <c r="C16">
        <v>0.17013659553534799</v>
      </c>
      <c r="D16">
        <v>0.82986340446465101</v>
      </c>
      <c r="E16">
        <v>1</v>
      </c>
    </row>
    <row r="17" spans="1:5" x14ac:dyDescent="0.2">
      <c r="A17">
        <f t="shared" si="0"/>
        <v>15</v>
      </c>
      <c r="B17">
        <v>0</v>
      </c>
      <c r="C17">
        <v>0.55402137857425005</v>
      </c>
      <c r="D17">
        <v>0.44597862142574901</v>
      </c>
      <c r="E17">
        <v>0</v>
      </c>
    </row>
    <row r="18" spans="1:5" x14ac:dyDescent="0.2">
      <c r="A18">
        <f t="shared" si="0"/>
        <v>16</v>
      </c>
      <c r="B18">
        <v>1</v>
      </c>
      <c r="C18">
        <v>0.74606387404385499</v>
      </c>
      <c r="D18">
        <v>0.25393612595614401</v>
      </c>
      <c r="E18">
        <v>0</v>
      </c>
    </row>
    <row r="19" spans="1:5" x14ac:dyDescent="0.2">
      <c r="A19">
        <f t="shared" si="0"/>
        <v>17</v>
      </c>
      <c r="B19">
        <v>1</v>
      </c>
      <c r="C19">
        <v>0.218847660579087</v>
      </c>
      <c r="D19">
        <v>0.781152339420912</v>
      </c>
      <c r="E19">
        <v>1</v>
      </c>
    </row>
    <row r="20" spans="1:5" x14ac:dyDescent="0.2">
      <c r="A20">
        <f t="shared" si="0"/>
        <v>18</v>
      </c>
      <c r="B20">
        <v>0</v>
      </c>
      <c r="C20">
        <v>0.49893371692821997</v>
      </c>
      <c r="D20">
        <v>0.50106628307177903</v>
      </c>
      <c r="E20">
        <v>1</v>
      </c>
    </row>
    <row r="21" spans="1:5" x14ac:dyDescent="0.2">
      <c r="A21">
        <f t="shared" si="0"/>
        <v>19</v>
      </c>
      <c r="B21">
        <v>1</v>
      </c>
      <c r="C21">
        <v>0.37533076811223998</v>
      </c>
      <c r="D21">
        <v>0.62466923188775902</v>
      </c>
      <c r="E21">
        <v>1</v>
      </c>
    </row>
    <row r="22" spans="1:5" x14ac:dyDescent="0.2">
      <c r="A22">
        <f t="shared" si="0"/>
        <v>20</v>
      </c>
      <c r="B22">
        <v>0</v>
      </c>
      <c r="C22">
        <v>0.420856120362121</v>
      </c>
      <c r="D22">
        <v>0.57914387963787795</v>
      </c>
      <c r="E22">
        <v>1</v>
      </c>
    </row>
    <row r="23" spans="1:5" x14ac:dyDescent="0.2">
      <c r="A23">
        <f t="shared" si="0"/>
        <v>21</v>
      </c>
      <c r="B23">
        <v>0</v>
      </c>
      <c r="C23">
        <v>0.64118633775858003</v>
      </c>
      <c r="D23">
        <v>0.35881366224141897</v>
      </c>
      <c r="E23">
        <v>0</v>
      </c>
    </row>
    <row r="24" spans="1:5" x14ac:dyDescent="0.2">
      <c r="A24">
        <f t="shared" si="0"/>
        <v>22</v>
      </c>
      <c r="B24">
        <v>0</v>
      </c>
      <c r="C24">
        <v>0.569553228035239</v>
      </c>
      <c r="D24">
        <v>0.43044677196476</v>
      </c>
      <c r="E24">
        <v>0</v>
      </c>
    </row>
    <row r="25" spans="1:5" x14ac:dyDescent="0.2">
      <c r="A25">
        <f t="shared" si="0"/>
        <v>23</v>
      </c>
      <c r="B25">
        <v>1</v>
      </c>
      <c r="C25">
        <v>0.12814770184327301</v>
      </c>
      <c r="D25">
        <v>0.87185229815672605</v>
      </c>
      <c r="E25">
        <v>1</v>
      </c>
    </row>
    <row r="26" spans="1:5" x14ac:dyDescent="0.2">
      <c r="A26">
        <f t="shared" si="0"/>
        <v>24</v>
      </c>
      <c r="B26">
        <v>1</v>
      </c>
      <c r="C26">
        <v>0.43409471053679699</v>
      </c>
      <c r="D26">
        <v>0.56590528946320195</v>
      </c>
      <c r="E26">
        <v>1</v>
      </c>
    </row>
    <row r="27" spans="1:5" x14ac:dyDescent="0.2">
      <c r="A27">
        <f t="shared" si="0"/>
        <v>25</v>
      </c>
      <c r="B27">
        <v>0</v>
      </c>
      <c r="C27">
        <v>0.16869384867392501</v>
      </c>
      <c r="D27">
        <v>0.83130615132607399</v>
      </c>
      <c r="E27">
        <v>1</v>
      </c>
    </row>
    <row r="28" spans="1:5" x14ac:dyDescent="0.2">
      <c r="A28">
        <f t="shared" si="0"/>
        <v>26</v>
      </c>
      <c r="B28">
        <v>1</v>
      </c>
      <c r="C28">
        <v>0.41040746297325498</v>
      </c>
      <c r="D28">
        <v>0.58959253702674397</v>
      </c>
      <c r="E28">
        <v>1</v>
      </c>
    </row>
    <row r="29" spans="1:5" x14ac:dyDescent="0.2">
      <c r="A29">
        <f t="shared" si="0"/>
        <v>27</v>
      </c>
      <c r="B29">
        <v>1</v>
      </c>
      <c r="C29">
        <v>0.26392854987696102</v>
      </c>
      <c r="D29">
        <v>0.73607145012303798</v>
      </c>
      <c r="E29">
        <v>1</v>
      </c>
    </row>
    <row r="30" spans="1:5" x14ac:dyDescent="0.2">
      <c r="A30">
        <f t="shared" si="0"/>
        <v>28</v>
      </c>
      <c r="B30">
        <v>1</v>
      </c>
      <c r="C30">
        <v>0.50028208072713698</v>
      </c>
      <c r="D30">
        <v>0.49971791927286202</v>
      </c>
      <c r="E30">
        <v>0</v>
      </c>
    </row>
    <row r="31" spans="1:5" x14ac:dyDescent="0.2">
      <c r="A31">
        <f t="shared" si="0"/>
        <v>29</v>
      </c>
      <c r="B31">
        <v>1</v>
      </c>
      <c r="C31">
        <v>0.50151153933103498</v>
      </c>
      <c r="D31">
        <v>0.49848846066896402</v>
      </c>
      <c r="E31">
        <v>0</v>
      </c>
    </row>
    <row r="32" spans="1:5" x14ac:dyDescent="0.2">
      <c r="A32">
        <f t="shared" si="0"/>
        <v>30</v>
      </c>
      <c r="B32">
        <v>1</v>
      </c>
      <c r="C32">
        <v>9.2925509080634794E-2</v>
      </c>
      <c r="D32">
        <v>0.90707449091936498</v>
      </c>
      <c r="E32">
        <v>1</v>
      </c>
    </row>
    <row r="33" spans="1:5" x14ac:dyDescent="0.2">
      <c r="A33">
        <f t="shared" si="0"/>
        <v>31</v>
      </c>
      <c r="B33">
        <v>0</v>
      </c>
      <c r="C33">
        <v>0.54661961512289503</v>
      </c>
      <c r="D33">
        <v>0.45338038487710403</v>
      </c>
      <c r="E33">
        <v>0</v>
      </c>
    </row>
    <row r="34" spans="1:5" x14ac:dyDescent="0.2">
      <c r="A34">
        <f t="shared" si="0"/>
        <v>32</v>
      </c>
      <c r="B34">
        <v>0</v>
      </c>
      <c r="C34">
        <v>0.58764472458003303</v>
      </c>
      <c r="D34">
        <v>0.41235527541996603</v>
      </c>
      <c r="E34">
        <v>0</v>
      </c>
    </row>
    <row r="35" spans="1:5" x14ac:dyDescent="0.2">
      <c r="A35">
        <f t="shared" si="0"/>
        <v>33</v>
      </c>
      <c r="B35">
        <v>1</v>
      </c>
      <c r="C35">
        <v>0.11154210066959699</v>
      </c>
      <c r="D35">
        <v>0.88845789933040198</v>
      </c>
      <c r="E35">
        <v>1</v>
      </c>
    </row>
    <row r="36" spans="1:5" x14ac:dyDescent="0.2">
      <c r="A36">
        <f t="shared" si="0"/>
        <v>34</v>
      </c>
      <c r="B36">
        <v>1</v>
      </c>
      <c r="C36">
        <v>0.107358052943587</v>
      </c>
      <c r="D36">
        <v>0.89264194705641298</v>
      </c>
      <c r="E36">
        <v>1</v>
      </c>
    </row>
    <row r="37" spans="1:5" x14ac:dyDescent="0.2">
      <c r="A37">
        <f t="shared" si="0"/>
        <v>35</v>
      </c>
      <c r="B37">
        <v>0</v>
      </c>
      <c r="C37">
        <v>0.18906972146261999</v>
      </c>
      <c r="D37">
        <v>0.81093027853737898</v>
      </c>
      <c r="E37">
        <v>1</v>
      </c>
    </row>
    <row r="38" spans="1:5" x14ac:dyDescent="0.2">
      <c r="A38">
        <f t="shared" si="0"/>
        <v>36</v>
      </c>
      <c r="B38">
        <v>0</v>
      </c>
      <c r="C38">
        <v>0.54962624187008802</v>
      </c>
      <c r="D38">
        <v>0.45037375812991098</v>
      </c>
      <c r="E38">
        <v>0</v>
      </c>
    </row>
    <row r="39" spans="1:5" x14ac:dyDescent="0.2">
      <c r="A39">
        <f t="shared" si="0"/>
        <v>37</v>
      </c>
      <c r="B39">
        <v>1</v>
      </c>
      <c r="C39">
        <v>0.112465090885733</v>
      </c>
      <c r="D39">
        <v>0.88753490911426602</v>
      </c>
      <c r="E39">
        <v>1</v>
      </c>
    </row>
    <row r="40" spans="1:5" x14ac:dyDescent="0.2">
      <c r="A40">
        <f t="shared" si="0"/>
        <v>38</v>
      </c>
      <c r="B40">
        <v>1</v>
      </c>
      <c r="C40">
        <v>0.108488790967656</v>
      </c>
      <c r="D40">
        <v>0.89151120903234304</v>
      </c>
      <c r="E40">
        <v>1</v>
      </c>
    </row>
    <row r="41" spans="1:5" x14ac:dyDescent="0.2">
      <c r="A41">
        <f t="shared" si="0"/>
        <v>39</v>
      </c>
      <c r="B41">
        <v>1</v>
      </c>
      <c r="C41">
        <v>9.9027356285356596E-2</v>
      </c>
      <c r="D41">
        <v>0.90097264371464303</v>
      </c>
      <c r="E41">
        <v>1</v>
      </c>
    </row>
    <row r="42" spans="1:5" x14ac:dyDescent="0.2">
      <c r="A42">
        <f t="shared" si="0"/>
        <v>40</v>
      </c>
      <c r="B42">
        <v>0</v>
      </c>
      <c r="C42">
        <v>0.38915530580473101</v>
      </c>
      <c r="D42">
        <v>0.61084469419526799</v>
      </c>
      <c r="E42">
        <v>1</v>
      </c>
    </row>
    <row r="43" spans="1:5" x14ac:dyDescent="0.2">
      <c r="A43">
        <f t="shared" si="0"/>
        <v>41</v>
      </c>
      <c r="B43">
        <v>0</v>
      </c>
      <c r="C43">
        <v>0.62488082507515696</v>
      </c>
      <c r="D43">
        <v>0.37511917492484198</v>
      </c>
      <c r="E43">
        <v>0</v>
      </c>
    </row>
    <row r="44" spans="1:5" x14ac:dyDescent="0.2">
      <c r="A44">
        <f t="shared" si="0"/>
        <v>42</v>
      </c>
      <c r="B44">
        <v>1</v>
      </c>
      <c r="C44">
        <v>0.31602341802245199</v>
      </c>
      <c r="D44">
        <v>0.68397658197754696</v>
      </c>
      <c r="E44">
        <v>1</v>
      </c>
    </row>
    <row r="45" spans="1:5" x14ac:dyDescent="0.2">
      <c r="A45">
        <f t="shared" si="0"/>
        <v>43</v>
      </c>
      <c r="B45">
        <v>0</v>
      </c>
      <c r="C45">
        <v>0.68414390250879997</v>
      </c>
      <c r="D45">
        <v>0.31585609749119897</v>
      </c>
      <c r="E45">
        <v>0</v>
      </c>
    </row>
    <row r="46" spans="1:5" x14ac:dyDescent="0.2">
      <c r="A46">
        <f t="shared" si="0"/>
        <v>44</v>
      </c>
      <c r="B46">
        <v>1</v>
      </c>
      <c r="C46">
        <v>5.5949471568144303E-2</v>
      </c>
      <c r="D46">
        <v>0.944050528431855</v>
      </c>
      <c r="E46">
        <v>1</v>
      </c>
    </row>
    <row r="47" spans="1:5" x14ac:dyDescent="0.2">
      <c r="A47">
        <f t="shared" si="0"/>
        <v>45</v>
      </c>
      <c r="B47">
        <v>1</v>
      </c>
      <c r="C47">
        <v>0.27253556424993602</v>
      </c>
      <c r="D47">
        <v>0.72746443575006303</v>
      </c>
      <c r="E47">
        <v>1</v>
      </c>
    </row>
    <row r="48" spans="1:5" x14ac:dyDescent="0.2">
      <c r="A48">
        <f t="shared" si="0"/>
        <v>46</v>
      </c>
      <c r="B48">
        <v>0</v>
      </c>
      <c r="C48">
        <v>0.68912603776733605</v>
      </c>
      <c r="D48">
        <v>0.310873962232663</v>
      </c>
      <c r="E48">
        <v>0</v>
      </c>
    </row>
    <row r="49" spans="1:5" x14ac:dyDescent="0.2">
      <c r="A49">
        <f t="shared" si="0"/>
        <v>47</v>
      </c>
      <c r="B49">
        <v>1</v>
      </c>
      <c r="C49">
        <v>0.27710211064376999</v>
      </c>
      <c r="D49">
        <v>0.72289788935622901</v>
      </c>
      <c r="E49">
        <v>1</v>
      </c>
    </row>
    <row r="50" spans="1:5" x14ac:dyDescent="0.2">
      <c r="A50">
        <f t="shared" si="0"/>
        <v>48</v>
      </c>
      <c r="B50">
        <v>1</v>
      </c>
      <c r="C50">
        <v>0.30137524256895099</v>
      </c>
      <c r="D50">
        <v>0.69862475743104802</v>
      </c>
      <c r="E50">
        <v>1</v>
      </c>
    </row>
    <row r="51" spans="1:5" x14ac:dyDescent="0.2">
      <c r="A51">
        <f t="shared" si="0"/>
        <v>49</v>
      </c>
      <c r="B51">
        <v>1</v>
      </c>
      <c r="C51">
        <v>0.40276566195411301</v>
      </c>
      <c r="D51">
        <v>0.59723433804588599</v>
      </c>
      <c r="E51">
        <v>1</v>
      </c>
    </row>
    <row r="52" spans="1:5" x14ac:dyDescent="0.2">
      <c r="A52">
        <f t="shared" si="0"/>
        <v>50</v>
      </c>
      <c r="B52">
        <v>1</v>
      </c>
      <c r="C52">
        <v>0.186834984626019</v>
      </c>
      <c r="D52">
        <v>0.813165015373981</v>
      </c>
      <c r="E52">
        <v>1</v>
      </c>
    </row>
    <row r="53" spans="1:5" x14ac:dyDescent="0.2">
      <c r="A53">
        <f t="shared" si="0"/>
        <v>51</v>
      </c>
      <c r="B53">
        <v>0</v>
      </c>
      <c r="C53">
        <v>0.70495768466030795</v>
      </c>
      <c r="D53">
        <v>0.295042315339691</v>
      </c>
      <c r="E53">
        <v>0</v>
      </c>
    </row>
    <row r="54" spans="1:5" x14ac:dyDescent="0.2">
      <c r="A54">
        <f t="shared" si="0"/>
        <v>52</v>
      </c>
      <c r="B54">
        <v>0</v>
      </c>
      <c r="C54">
        <v>0.76692651002603096</v>
      </c>
      <c r="D54">
        <v>0.23307348997396801</v>
      </c>
      <c r="E54">
        <v>0</v>
      </c>
    </row>
    <row r="55" spans="1:5" x14ac:dyDescent="0.2">
      <c r="A55">
        <f t="shared" si="0"/>
        <v>53</v>
      </c>
      <c r="B55">
        <v>0</v>
      </c>
      <c r="C55">
        <v>0.53799642141559001</v>
      </c>
      <c r="D55">
        <v>0.46200357858440899</v>
      </c>
      <c r="E55">
        <v>0</v>
      </c>
    </row>
    <row r="56" spans="1:5" x14ac:dyDescent="0.2">
      <c r="A56">
        <f t="shared" si="0"/>
        <v>54</v>
      </c>
      <c r="B56">
        <v>1</v>
      </c>
      <c r="C56">
        <v>0.115073327708979</v>
      </c>
      <c r="D56">
        <v>0.88492667229101996</v>
      </c>
      <c r="E56">
        <v>1</v>
      </c>
    </row>
    <row r="57" spans="1:5" x14ac:dyDescent="0.2">
      <c r="A57">
        <f t="shared" si="0"/>
        <v>55</v>
      </c>
      <c r="B57">
        <v>0</v>
      </c>
      <c r="C57">
        <v>0.30902042884405001</v>
      </c>
      <c r="D57">
        <v>0.69097957115594899</v>
      </c>
      <c r="E57">
        <v>1</v>
      </c>
    </row>
    <row r="58" spans="1:5" x14ac:dyDescent="0.2">
      <c r="A58">
        <f t="shared" si="0"/>
        <v>56</v>
      </c>
      <c r="B58">
        <v>0</v>
      </c>
      <c r="C58">
        <v>0.58668245911982098</v>
      </c>
      <c r="D58">
        <v>0.41331754088017802</v>
      </c>
      <c r="E58">
        <v>0</v>
      </c>
    </row>
    <row r="59" spans="1:5" x14ac:dyDescent="0.2">
      <c r="A59">
        <f t="shared" si="0"/>
        <v>57</v>
      </c>
      <c r="B59">
        <v>0</v>
      </c>
      <c r="C59">
        <v>0.66865401022957904</v>
      </c>
      <c r="D59">
        <v>0.33134598977042001</v>
      </c>
      <c r="E59">
        <v>0</v>
      </c>
    </row>
    <row r="60" spans="1:5" x14ac:dyDescent="0.2">
      <c r="A60">
        <f t="shared" si="0"/>
        <v>58</v>
      </c>
      <c r="B60">
        <v>1</v>
      </c>
      <c r="C60">
        <v>8.5862274993122004E-2</v>
      </c>
      <c r="D60">
        <v>0.91413772500687795</v>
      </c>
      <c r="E60">
        <v>1</v>
      </c>
    </row>
    <row r="61" spans="1:5" x14ac:dyDescent="0.2">
      <c r="A61">
        <f t="shared" si="0"/>
        <v>59</v>
      </c>
      <c r="B61">
        <v>1</v>
      </c>
      <c r="C61">
        <v>0.17295166446565099</v>
      </c>
      <c r="D61">
        <v>0.82704833553434798</v>
      </c>
      <c r="E61">
        <v>1</v>
      </c>
    </row>
    <row r="62" spans="1:5" x14ac:dyDescent="0.2">
      <c r="A62">
        <f t="shared" si="0"/>
        <v>60</v>
      </c>
      <c r="B62">
        <v>1</v>
      </c>
      <c r="C62">
        <v>0.68039890368967304</v>
      </c>
      <c r="D62">
        <v>0.31960109631032602</v>
      </c>
      <c r="E62">
        <v>0</v>
      </c>
    </row>
    <row r="63" spans="1:5" x14ac:dyDescent="0.2">
      <c r="A63">
        <f t="shared" si="0"/>
        <v>61</v>
      </c>
      <c r="B63">
        <v>1</v>
      </c>
      <c r="C63">
        <v>0.16126414372843301</v>
      </c>
      <c r="D63">
        <v>0.83873585627156699</v>
      </c>
      <c r="E63">
        <v>1</v>
      </c>
    </row>
    <row r="64" spans="1:5" x14ac:dyDescent="0.2">
      <c r="A64">
        <f t="shared" si="0"/>
        <v>62</v>
      </c>
      <c r="B64">
        <v>1</v>
      </c>
      <c r="C64">
        <v>0.70994477938834299</v>
      </c>
      <c r="D64">
        <v>0.29005522061165601</v>
      </c>
      <c r="E64">
        <v>0</v>
      </c>
    </row>
    <row r="65" spans="1:5" x14ac:dyDescent="0.2">
      <c r="A65">
        <f t="shared" si="0"/>
        <v>63</v>
      </c>
      <c r="B65">
        <v>1</v>
      </c>
      <c r="C65">
        <v>0.431198767000112</v>
      </c>
      <c r="D65">
        <v>0.56880123299988705</v>
      </c>
      <c r="E65">
        <v>1</v>
      </c>
    </row>
    <row r="66" spans="1:5" x14ac:dyDescent="0.2">
      <c r="A66">
        <f t="shared" si="0"/>
        <v>64</v>
      </c>
      <c r="B66">
        <v>1</v>
      </c>
      <c r="C66">
        <v>0.65975580911763299</v>
      </c>
      <c r="D66">
        <v>0.34024419088236602</v>
      </c>
      <c r="E66">
        <v>0</v>
      </c>
    </row>
    <row r="67" spans="1:5" x14ac:dyDescent="0.2">
      <c r="A67">
        <f t="shared" si="0"/>
        <v>65</v>
      </c>
      <c r="B67">
        <v>0</v>
      </c>
      <c r="C67">
        <v>0.56585200155120496</v>
      </c>
      <c r="D67">
        <v>0.43414799844879398</v>
      </c>
      <c r="E67">
        <v>0</v>
      </c>
    </row>
    <row r="68" spans="1:5" x14ac:dyDescent="0.2">
      <c r="A68">
        <f t="shared" ref="A68:A131" si="1">A67+1</f>
        <v>66</v>
      </c>
      <c r="B68">
        <v>1</v>
      </c>
      <c r="C68">
        <v>0.14435823152301699</v>
      </c>
      <c r="D68">
        <v>0.85564176847698203</v>
      </c>
      <c r="E68">
        <v>1</v>
      </c>
    </row>
    <row r="69" spans="1:5" x14ac:dyDescent="0.2">
      <c r="A69">
        <f t="shared" si="1"/>
        <v>67</v>
      </c>
      <c r="B69">
        <v>0</v>
      </c>
      <c r="C69">
        <v>0.69867962252586402</v>
      </c>
      <c r="D69">
        <v>0.30132037747413498</v>
      </c>
      <c r="E69">
        <v>0</v>
      </c>
    </row>
    <row r="70" spans="1:5" x14ac:dyDescent="0.2">
      <c r="A70">
        <f t="shared" si="1"/>
        <v>68</v>
      </c>
      <c r="B70">
        <v>0</v>
      </c>
      <c r="C70">
        <v>0.26432012208739603</v>
      </c>
      <c r="D70">
        <v>0.73567987791260303</v>
      </c>
      <c r="E70">
        <v>1</v>
      </c>
    </row>
    <row r="71" spans="1:5" x14ac:dyDescent="0.2">
      <c r="A71">
        <f t="shared" si="1"/>
        <v>69</v>
      </c>
      <c r="B71">
        <v>1</v>
      </c>
      <c r="C71">
        <v>0.33531155423528902</v>
      </c>
      <c r="D71">
        <v>0.66468844576470998</v>
      </c>
      <c r="E71">
        <v>1</v>
      </c>
    </row>
    <row r="72" spans="1:5" x14ac:dyDescent="0.2">
      <c r="A72">
        <f t="shared" si="1"/>
        <v>70</v>
      </c>
      <c r="B72">
        <v>1</v>
      </c>
      <c r="C72">
        <v>0.20754281370403799</v>
      </c>
      <c r="D72">
        <v>0.79245718629596096</v>
      </c>
      <c r="E72">
        <v>1</v>
      </c>
    </row>
    <row r="73" spans="1:5" x14ac:dyDescent="0.2">
      <c r="A73">
        <f t="shared" si="1"/>
        <v>71</v>
      </c>
      <c r="B73">
        <v>1</v>
      </c>
      <c r="C73">
        <v>0.17775590926644699</v>
      </c>
      <c r="D73">
        <v>0.82224409073355298</v>
      </c>
      <c r="E73">
        <v>1</v>
      </c>
    </row>
    <row r="74" spans="1:5" x14ac:dyDescent="0.2">
      <c r="A74">
        <f t="shared" si="1"/>
        <v>72</v>
      </c>
      <c r="B74">
        <v>1</v>
      </c>
      <c r="C74">
        <v>0.196580855402927</v>
      </c>
      <c r="D74">
        <v>0.80341914459707198</v>
      </c>
      <c r="E74">
        <v>1</v>
      </c>
    </row>
    <row r="75" spans="1:5" x14ac:dyDescent="0.2">
      <c r="A75">
        <f t="shared" si="1"/>
        <v>73</v>
      </c>
      <c r="B75">
        <v>1</v>
      </c>
      <c r="C75">
        <v>0.29630775275148502</v>
      </c>
      <c r="D75">
        <v>0.70369224724851398</v>
      </c>
      <c r="E75">
        <v>1</v>
      </c>
    </row>
    <row r="76" spans="1:5" x14ac:dyDescent="0.2">
      <c r="A76">
        <f t="shared" si="1"/>
        <v>74</v>
      </c>
      <c r="B76">
        <v>1</v>
      </c>
      <c r="C76">
        <v>0.33252591512111801</v>
      </c>
      <c r="D76">
        <v>0.66747408487888105</v>
      </c>
      <c r="E76">
        <v>1</v>
      </c>
    </row>
    <row r="77" spans="1:5" x14ac:dyDescent="0.2">
      <c r="A77">
        <f t="shared" si="1"/>
        <v>75</v>
      </c>
      <c r="B77">
        <v>1</v>
      </c>
      <c r="C77">
        <v>0.13108982553902301</v>
      </c>
      <c r="D77">
        <v>0.86891017446097596</v>
      </c>
      <c r="E77">
        <v>1</v>
      </c>
    </row>
    <row r="78" spans="1:5" x14ac:dyDescent="0.2">
      <c r="A78">
        <f t="shared" si="1"/>
        <v>76</v>
      </c>
      <c r="B78">
        <v>1</v>
      </c>
      <c r="C78">
        <v>0.11366976429652299</v>
      </c>
      <c r="D78">
        <v>0.88633023570347602</v>
      </c>
      <c r="E78">
        <v>1</v>
      </c>
    </row>
    <row r="79" spans="1:5" x14ac:dyDescent="0.2">
      <c r="A79">
        <f t="shared" si="1"/>
        <v>77</v>
      </c>
      <c r="B79">
        <v>0</v>
      </c>
      <c r="C79">
        <v>0.67682613641658396</v>
      </c>
      <c r="D79">
        <v>0.32317386358341499</v>
      </c>
      <c r="E79">
        <v>0</v>
      </c>
    </row>
    <row r="80" spans="1:5" x14ac:dyDescent="0.2">
      <c r="A80">
        <f t="shared" si="1"/>
        <v>78</v>
      </c>
      <c r="B80">
        <v>1</v>
      </c>
      <c r="C80">
        <v>0.40677009417979199</v>
      </c>
      <c r="D80">
        <v>0.59322990582020696</v>
      </c>
      <c r="E80">
        <v>1</v>
      </c>
    </row>
    <row r="81" spans="1:5" x14ac:dyDescent="0.2">
      <c r="A81">
        <f t="shared" si="1"/>
        <v>79</v>
      </c>
      <c r="B81">
        <v>1</v>
      </c>
      <c r="C81">
        <v>0.36519773535169497</v>
      </c>
      <c r="D81">
        <v>0.63480226464830403</v>
      </c>
      <c r="E81">
        <v>1</v>
      </c>
    </row>
    <row r="82" spans="1:5" x14ac:dyDescent="0.2">
      <c r="A82">
        <f t="shared" si="1"/>
        <v>80</v>
      </c>
      <c r="B82">
        <v>1</v>
      </c>
      <c r="C82">
        <v>0.21123644945783099</v>
      </c>
      <c r="D82">
        <v>0.78876355054216796</v>
      </c>
      <c r="E82">
        <v>1</v>
      </c>
    </row>
    <row r="83" spans="1:5" x14ac:dyDescent="0.2">
      <c r="A83">
        <f t="shared" si="1"/>
        <v>81</v>
      </c>
      <c r="B83">
        <v>0</v>
      </c>
      <c r="C83">
        <v>0.30070557484792598</v>
      </c>
      <c r="D83">
        <v>0.69929442515207296</v>
      </c>
      <c r="E83">
        <v>1</v>
      </c>
    </row>
    <row r="84" spans="1:5" x14ac:dyDescent="0.2">
      <c r="A84">
        <f t="shared" si="1"/>
        <v>82</v>
      </c>
      <c r="B84">
        <v>1</v>
      </c>
      <c r="C84">
        <v>0.45414094314373399</v>
      </c>
      <c r="D84">
        <v>0.54585905685626501</v>
      </c>
      <c r="E84">
        <v>1</v>
      </c>
    </row>
    <row r="85" spans="1:5" x14ac:dyDescent="0.2">
      <c r="A85">
        <f t="shared" si="1"/>
        <v>83</v>
      </c>
      <c r="B85">
        <v>1</v>
      </c>
      <c r="C85">
        <v>9.9194297389389702E-2</v>
      </c>
      <c r="D85">
        <v>0.90080570261060999</v>
      </c>
      <c r="E85">
        <v>1</v>
      </c>
    </row>
    <row r="86" spans="1:5" x14ac:dyDescent="0.2">
      <c r="A86">
        <f t="shared" si="1"/>
        <v>84</v>
      </c>
      <c r="B86">
        <v>1</v>
      </c>
      <c r="C86">
        <v>0.16698835353001401</v>
      </c>
      <c r="D86">
        <v>0.83301164646998505</v>
      </c>
      <c r="E86">
        <v>1</v>
      </c>
    </row>
    <row r="87" spans="1:5" x14ac:dyDescent="0.2">
      <c r="A87">
        <f t="shared" si="1"/>
        <v>85</v>
      </c>
      <c r="B87">
        <v>1</v>
      </c>
      <c r="C87">
        <v>0.13830757054399101</v>
      </c>
      <c r="D87">
        <v>0.86169242945600799</v>
      </c>
      <c r="E87">
        <v>1</v>
      </c>
    </row>
    <row r="88" spans="1:5" x14ac:dyDescent="0.2">
      <c r="A88">
        <f t="shared" si="1"/>
        <v>86</v>
      </c>
      <c r="B88">
        <v>1</v>
      </c>
      <c r="C88">
        <v>0.38874413422845</v>
      </c>
      <c r="D88">
        <v>0.611255865771549</v>
      </c>
      <c r="E88">
        <v>1</v>
      </c>
    </row>
    <row r="89" spans="1:5" x14ac:dyDescent="0.2">
      <c r="A89">
        <f t="shared" si="1"/>
        <v>87</v>
      </c>
      <c r="B89">
        <v>1</v>
      </c>
      <c r="C89">
        <v>0.172363063204619</v>
      </c>
      <c r="D89">
        <v>0.82763693679538097</v>
      </c>
      <c r="E89">
        <v>1</v>
      </c>
    </row>
    <row r="90" spans="1:5" x14ac:dyDescent="0.2">
      <c r="A90">
        <f t="shared" si="1"/>
        <v>88</v>
      </c>
      <c r="B90">
        <v>1</v>
      </c>
      <c r="C90">
        <v>0.25779861717860603</v>
      </c>
      <c r="D90">
        <v>0.74220138282139303</v>
      </c>
      <c r="E90">
        <v>1</v>
      </c>
    </row>
    <row r="91" spans="1:5" x14ac:dyDescent="0.2">
      <c r="A91">
        <f t="shared" si="1"/>
        <v>89</v>
      </c>
      <c r="B91">
        <v>1</v>
      </c>
      <c r="C91">
        <v>0.245762787463981</v>
      </c>
      <c r="D91">
        <v>0.75423721253601805</v>
      </c>
      <c r="E91">
        <v>1</v>
      </c>
    </row>
    <row r="92" spans="1:5" x14ac:dyDescent="0.2">
      <c r="A92">
        <f t="shared" si="1"/>
        <v>90</v>
      </c>
      <c r="B92">
        <v>0</v>
      </c>
      <c r="C92">
        <v>0.55746729042809795</v>
      </c>
      <c r="D92">
        <v>0.442532709571901</v>
      </c>
      <c r="E92">
        <v>0</v>
      </c>
    </row>
    <row r="93" spans="1:5" x14ac:dyDescent="0.2">
      <c r="A93">
        <f t="shared" si="1"/>
        <v>91</v>
      </c>
      <c r="B93">
        <v>0</v>
      </c>
      <c r="C93">
        <v>6.7753473930911898E-2</v>
      </c>
      <c r="D93">
        <v>0.93224652606908798</v>
      </c>
      <c r="E93">
        <v>1</v>
      </c>
    </row>
    <row r="94" spans="1:5" x14ac:dyDescent="0.2">
      <c r="A94">
        <f t="shared" si="1"/>
        <v>92</v>
      </c>
      <c r="B94">
        <v>1</v>
      </c>
      <c r="C94">
        <v>0.33216164086719902</v>
      </c>
      <c r="D94">
        <v>0.66783835913279999</v>
      </c>
      <c r="E94">
        <v>1</v>
      </c>
    </row>
    <row r="95" spans="1:5" x14ac:dyDescent="0.2">
      <c r="A95">
        <f t="shared" si="1"/>
        <v>93</v>
      </c>
      <c r="B95">
        <v>1</v>
      </c>
      <c r="C95">
        <v>0.32354581702286</v>
      </c>
      <c r="D95">
        <v>0.676454182977139</v>
      </c>
      <c r="E95">
        <v>1</v>
      </c>
    </row>
    <row r="96" spans="1:5" x14ac:dyDescent="0.2">
      <c r="A96">
        <f t="shared" si="1"/>
        <v>94</v>
      </c>
      <c r="B96">
        <v>0</v>
      </c>
      <c r="C96">
        <v>0.55328556234154003</v>
      </c>
      <c r="D96">
        <v>0.44671443765845897</v>
      </c>
      <c r="E96">
        <v>0</v>
      </c>
    </row>
    <row r="97" spans="1:5" x14ac:dyDescent="0.2">
      <c r="A97">
        <f t="shared" si="1"/>
        <v>95</v>
      </c>
      <c r="B97">
        <v>1</v>
      </c>
      <c r="C97">
        <v>0.21634993691925999</v>
      </c>
      <c r="D97">
        <v>0.78365006308073903</v>
      </c>
      <c r="E97">
        <v>1</v>
      </c>
    </row>
    <row r="98" spans="1:5" x14ac:dyDescent="0.2">
      <c r="A98">
        <f t="shared" si="1"/>
        <v>96</v>
      </c>
      <c r="B98">
        <v>1</v>
      </c>
      <c r="C98">
        <v>0.404889617997508</v>
      </c>
      <c r="D98">
        <v>0.595110382002491</v>
      </c>
      <c r="E98">
        <v>1</v>
      </c>
    </row>
    <row r="99" spans="1:5" x14ac:dyDescent="0.2">
      <c r="A99">
        <f t="shared" si="1"/>
        <v>97</v>
      </c>
      <c r="B99">
        <v>0</v>
      </c>
      <c r="C99">
        <v>0.61727408366533698</v>
      </c>
      <c r="D99">
        <v>0.38272591633466202</v>
      </c>
      <c r="E99">
        <v>0</v>
      </c>
    </row>
    <row r="100" spans="1:5" x14ac:dyDescent="0.2">
      <c r="A100">
        <f t="shared" si="1"/>
        <v>98</v>
      </c>
      <c r="B100">
        <v>0</v>
      </c>
      <c r="C100">
        <v>0.48924707307172799</v>
      </c>
      <c r="D100">
        <v>0.51075292692827101</v>
      </c>
      <c r="E100">
        <v>1</v>
      </c>
    </row>
    <row r="101" spans="1:5" x14ac:dyDescent="0.2">
      <c r="A101">
        <f t="shared" si="1"/>
        <v>99</v>
      </c>
      <c r="B101">
        <v>0</v>
      </c>
      <c r="C101">
        <v>0.251155272837155</v>
      </c>
      <c r="D101">
        <v>0.748844727162844</v>
      </c>
      <c r="E101">
        <v>1</v>
      </c>
    </row>
    <row r="102" spans="1:5" x14ac:dyDescent="0.2">
      <c r="A102">
        <f t="shared" si="1"/>
        <v>100</v>
      </c>
      <c r="B102">
        <v>1</v>
      </c>
      <c r="C102">
        <v>0.153928066967398</v>
      </c>
      <c r="D102">
        <v>0.84607193303260098</v>
      </c>
      <c r="E102">
        <v>1</v>
      </c>
    </row>
    <row r="103" spans="1:5" x14ac:dyDescent="0.2">
      <c r="A103">
        <f t="shared" si="1"/>
        <v>101</v>
      </c>
      <c r="B103">
        <v>1</v>
      </c>
      <c r="C103">
        <v>0.19860742269130699</v>
      </c>
      <c r="D103">
        <v>0.80139257730869196</v>
      </c>
      <c r="E103">
        <v>1</v>
      </c>
    </row>
    <row r="104" spans="1:5" x14ac:dyDescent="0.2">
      <c r="A104">
        <f t="shared" si="1"/>
        <v>102</v>
      </c>
      <c r="B104">
        <v>0</v>
      </c>
      <c r="C104">
        <v>0.35022183900291098</v>
      </c>
      <c r="D104">
        <v>0.64977816099708796</v>
      </c>
      <c r="E104">
        <v>1</v>
      </c>
    </row>
    <row r="105" spans="1:5" x14ac:dyDescent="0.2">
      <c r="A105">
        <f t="shared" si="1"/>
        <v>103</v>
      </c>
      <c r="B105">
        <v>1</v>
      </c>
      <c r="C105">
        <v>0.37900338060171501</v>
      </c>
      <c r="D105">
        <v>0.62099661939828399</v>
      </c>
      <c r="E105">
        <v>1</v>
      </c>
    </row>
    <row r="106" spans="1:5" x14ac:dyDescent="0.2">
      <c r="A106">
        <f t="shared" si="1"/>
        <v>104</v>
      </c>
      <c r="B106">
        <v>1</v>
      </c>
      <c r="C106">
        <v>0.12522590979151499</v>
      </c>
      <c r="D106">
        <v>0.87477409020848496</v>
      </c>
      <c r="E106">
        <v>1</v>
      </c>
    </row>
    <row r="107" spans="1:5" x14ac:dyDescent="0.2">
      <c r="A107">
        <f t="shared" si="1"/>
        <v>105</v>
      </c>
      <c r="B107">
        <v>0</v>
      </c>
      <c r="C107">
        <v>0.76031332844253696</v>
      </c>
      <c r="D107">
        <v>0.23968667155746201</v>
      </c>
      <c r="E107">
        <v>0</v>
      </c>
    </row>
    <row r="108" spans="1:5" x14ac:dyDescent="0.2">
      <c r="A108">
        <f t="shared" si="1"/>
        <v>106</v>
      </c>
      <c r="B108">
        <v>0</v>
      </c>
      <c r="C108">
        <v>0.765516263403206</v>
      </c>
      <c r="D108">
        <v>0.234483736596793</v>
      </c>
      <c r="E108">
        <v>0</v>
      </c>
    </row>
    <row r="109" spans="1:5" x14ac:dyDescent="0.2">
      <c r="A109">
        <f t="shared" si="1"/>
        <v>107</v>
      </c>
      <c r="B109">
        <v>1</v>
      </c>
      <c r="C109">
        <v>0.21920465098860301</v>
      </c>
      <c r="D109">
        <v>0.78079534901139602</v>
      </c>
      <c r="E109">
        <v>1</v>
      </c>
    </row>
    <row r="110" spans="1:5" x14ac:dyDescent="0.2">
      <c r="A110">
        <f t="shared" si="1"/>
        <v>108</v>
      </c>
      <c r="B110">
        <v>0</v>
      </c>
      <c r="C110">
        <v>0.51381634828274703</v>
      </c>
      <c r="D110">
        <v>0.48618365171725197</v>
      </c>
      <c r="E110">
        <v>0</v>
      </c>
    </row>
    <row r="111" spans="1:5" x14ac:dyDescent="0.2">
      <c r="A111">
        <f t="shared" si="1"/>
        <v>109</v>
      </c>
      <c r="B111">
        <v>0</v>
      </c>
      <c r="C111">
        <v>0.30646528367970399</v>
      </c>
      <c r="D111">
        <v>0.69353471632029495</v>
      </c>
      <c r="E111">
        <v>1</v>
      </c>
    </row>
    <row r="112" spans="1:5" x14ac:dyDescent="0.2">
      <c r="A112">
        <f t="shared" si="1"/>
        <v>110</v>
      </c>
      <c r="B112">
        <v>1</v>
      </c>
      <c r="C112">
        <v>0.31699005444084599</v>
      </c>
      <c r="D112">
        <v>0.68300994555915295</v>
      </c>
      <c r="E112">
        <v>1</v>
      </c>
    </row>
    <row r="113" spans="1:5" x14ac:dyDescent="0.2">
      <c r="A113">
        <f t="shared" si="1"/>
        <v>111</v>
      </c>
      <c r="B113">
        <v>0</v>
      </c>
      <c r="C113">
        <v>0.351634587736596</v>
      </c>
      <c r="D113">
        <v>0.64836541226340305</v>
      </c>
      <c r="E113">
        <v>1</v>
      </c>
    </row>
    <row r="114" spans="1:5" x14ac:dyDescent="0.2">
      <c r="A114">
        <f t="shared" si="1"/>
        <v>112</v>
      </c>
      <c r="B114">
        <v>1</v>
      </c>
      <c r="C114">
        <v>0.30014057805655098</v>
      </c>
      <c r="D114">
        <v>0.69985942194344897</v>
      </c>
      <c r="E114">
        <v>1</v>
      </c>
    </row>
    <row r="115" spans="1:5" x14ac:dyDescent="0.2">
      <c r="A115">
        <f t="shared" si="1"/>
        <v>113</v>
      </c>
      <c r="B115">
        <v>1</v>
      </c>
      <c r="C115">
        <v>0.241058229569376</v>
      </c>
      <c r="D115">
        <v>0.75894177043062305</v>
      </c>
      <c r="E115">
        <v>1</v>
      </c>
    </row>
    <row r="116" spans="1:5" x14ac:dyDescent="0.2">
      <c r="A116">
        <f t="shared" si="1"/>
        <v>114</v>
      </c>
      <c r="B116">
        <v>1</v>
      </c>
      <c r="C116">
        <v>6.4694371178253898E-2</v>
      </c>
      <c r="D116">
        <v>0.93530562882174595</v>
      </c>
      <c r="E116">
        <v>1</v>
      </c>
    </row>
    <row r="117" spans="1:5" x14ac:dyDescent="0.2">
      <c r="A117">
        <f t="shared" si="1"/>
        <v>115</v>
      </c>
      <c r="B117">
        <v>0</v>
      </c>
      <c r="C117">
        <v>0.100125151845101</v>
      </c>
      <c r="D117">
        <v>0.89987484815489804</v>
      </c>
      <c r="E117">
        <v>1</v>
      </c>
    </row>
    <row r="118" spans="1:5" x14ac:dyDescent="0.2">
      <c r="A118">
        <f t="shared" si="1"/>
        <v>116</v>
      </c>
      <c r="B118">
        <v>1</v>
      </c>
      <c r="C118">
        <v>0.182977159439841</v>
      </c>
      <c r="D118">
        <v>0.81702284056015795</v>
      </c>
      <c r="E118">
        <v>1</v>
      </c>
    </row>
    <row r="119" spans="1:5" x14ac:dyDescent="0.2">
      <c r="A119">
        <f t="shared" si="1"/>
        <v>117</v>
      </c>
      <c r="B119">
        <v>1</v>
      </c>
      <c r="C119">
        <v>0.25728858915584601</v>
      </c>
      <c r="D119">
        <v>0.74271141084415304</v>
      </c>
      <c r="E119">
        <v>1</v>
      </c>
    </row>
    <row r="120" spans="1:5" x14ac:dyDescent="0.2">
      <c r="A120">
        <f t="shared" si="1"/>
        <v>118</v>
      </c>
      <c r="B120">
        <v>0</v>
      </c>
      <c r="C120">
        <v>0.11000390642123201</v>
      </c>
      <c r="D120">
        <v>0.88999609357876697</v>
      </c>
      <c r="E120">
        <v>1</v>
      </c>
    </row>
    <row r="121" spans="1:5" x14ac:dyDescent="0.2">
      <c r="A121">
        <f t="shared" si="1"/>
        <v>119</v>
      </c>
      <c r="B121">
        <v>0</v>
      </c>
      <c r="C121">
        <v>0.37614659168917403</v>
      </c>
      <c r="D121">
        <v>0.62385340831082503</v>
      </c>
      <c r="E121">
        <v>1</v>
      </c>
    </row>
    <row r="122" spans="1:5" x14ac:dyDescent="0.2">
      <c r="A122">
        <f t="shared" si="1"/>
        <v>120</v>
      </c>
      <c r="B122">
        <v>0</v>
      </c>
      <c r="C122">
        <v>0.56240842927651002</v>
      </c>
      <c r="D122">
        <v>0.43759157072348898</v>
      </c>
      <c r="E122">
        <v>0</v>
      </c>
    </row>
    <row r="123" spans="1:5" x14ac:dyDescent="0.2">
      <c r="A123">
        <f t="shared" si="1"/>
        <v>121</v>
      </c>
      <c r="B123">
        <v>1</v>
      </c>
      <c r="C123">
        <v>0.33316374142997002</v>
      </c>
      <c r="D123">
        <v>0.66683625857002904</v>
      </c>
      <c r="E123">
        <v>1</v>
      </c>
    </row>
    <row r="124" spans="1:5" x14ac:dyDescent="0.2">
      <c r="A124">
        <f t="shared" si="1"/>
        <v>122</v>
      </c>
      <c r="B124">
        <v>0</v>
      </c>
      <c r="C124">
        <v>0.42084065872179399</v>
      </c>
      <c r="D124">
        <v>0.57915934127820501</v>
      </c>
      <c r="E124">
        <v>1</v>
      </c>
    </row>
    <row r="125" spans="1:5" x14ac:dyDescent="0.2">
      <c r="A125">
        <f t="shared" si="1"/>
        <v>123</v>
      </c>
      <c r="B125">
        <v>1</v>
      </c>
      <c r="C125">
        <v>0.19250822863575001</v>
      </c>
      <c r="D125">
        <v>0.80749177136424899</v>
      </c>
      <c r="E125">
        <v>1</v>
      </c>
    </row>
    <row r="126" spans="1:5" x14ac:dyDescent="0.2">
      <c r="A126">
        <f t="shared" si="1"/>
        <v>124</v>
      </c>
      <c r="B126">
        <v>1</v>
      </c>
      <c r="C126">
        <v>0.117609338436776</v>
      </c>
      <c r="D126">
        <v>0.88239066156322299</v>
      </c>
      <c r="E126">
        <v>1</v>
      </c>
    </row>
    <row r="127" spans="1:5" x14ac:dyDescent="0.2">
      <c r="A127">
        <f t="shared" si="1"/>
        <v>125</v>
      </c>
      <c r="B127">
        <v>1</v>
      </c>
      <c r="C127">
        <v>0.107324056404802</v>
      </c>
      <c r="D127">
        <v>0.89267594359519697</v>
      </c>
      <c r="E127">
        <v>1</v>
      </c>
    </row>
    <row r="128" spans="1:5" x14ac:dyDescent="0.2">
      <c r="A128">
        <f t="shared" si="1"/>
        <v>126</v>
      </c>
      <c r="B128">
        <v>1</v>
      </c>
      <c r="C128">
        <v>0.164858029819788</v>
      </c>
      <c r="D128">
        <v>0.83514197018021097</v>
      </c>
      <c r="E128">
        <v>1</v>
      </c>
    </row>
    <row r="129" spans="1:5" x14ac:dyDescent="0.2">
      <c r="A129">
        <f t="shared" si="1"/>
        <v>127</v>
      </c>
      <c r="B129">
        <v>1</v>
      </c>
      <c r="C129">
        <v>0.720072153616232</v>
      </c>
      <c r="D129">
        <v>0.279927846383767</v>
      </c>
      <c r="E129">
        <v>0</v>
      </c>
    </row>
    <row r="130" spans="1:5" x14ac:dyDescent="0.2">
      <c r="A130">
        <f t="shared" si="1"/>
        <v>128</v>
      </c>
      <c r="B130">
        <v>0</v>
      </c>
      <c r="C130">
        <v>0.28119678566501699</v>
      </c>
      <c r="D130">
        <v>0.71880321433498195</v>
      </c>
      <c r="E130">
        <v>1</v>
      </c>
    </row>
    <row r="131" spans="1:5" x14ac:dyDescent="0.2">
      <c r="A131">
        <f t="shared" si="1"/>
        <v>129</v>
      </c>
      <c r="B131">
        <v>1</v>
      </c>
      <c r="C131">
        <v>0.360303582094679</v>
      </c>
      <c r="D131">
        <v>0.63969641790532095</v>
      </c>
      <c r="E131">
        <v>1</v>
      </c>
    </row>
    <row r="132" spans="1:5" x14ac:dyDescent="0.2">
      <c r="A132">
        <f t="shared" ref="A132:A195" si="2">A131+1</f>
        <v>130</v>
      </c>
      <c r="B132">
        <v>1</v>
      </c>
      <c r="C132">
        <v>0.13865003659863501</v>
      </c>
      <c r="D132">
        <v>0.86134996340136405</v>
      </c>
      <c r="E132">
        <v>1</v>
      </c>
    </row>
    <row r="133" spans="1:5" x14ac:dyDescent="0.2">
      <c r="A133">
        <f t="shared" si="2"/>
        <v>131</v>
      </c>
      <c r="B133">
        <v>0</v>
      </c>
      <c r="C133">
        <v>0.57297449365773701</v>
      </c>
      <c r="D133">
        <v>0.42702550634226299</v>
      </c>
      <c r="E133">
        <v>0</v>
      </c>
    </row>
    <row r="134" spans="1:5" x14ac:dyDescent="0.2">
      <c r="A134">
        <f t="shared" si="2"/>
        <v>132</v>
      </c>
      <c r="B134">
        <v>1</v>
      </c>
      <c r="C134">
        <v>0.16978387567657399</v>
      </c>
      <c r="D134">
        <v>0.83021612432342495</v>
      </c>
      <c r="E134">
        <v>1</v>
      </c>
    </row>
    <row r="135" spans="1:5" x14ac:dyDescent="0.2">
      <c r="A135">
        <f t="shared" si="2"/>
        <v>133</v>
      </c>
      <c r="B135">
        <v>0</v>
      </c>
      <c r="C135">
        <v>0.70820036920719098</v>
      </c>
      <c r="D135">
        <v>0.29179963079280802</v>
      </c>
      <c r="E135">
        <v>0</v>
      </c>
    </row>
    <row r="136" spans="1:5" x14ac:dyDescent="0.2">
      <c r="A136">
        <f t="shared" si="2"/>
        <v>134</v>
      </c>
      <c r="B136">
        <v>0</v>
      </c>
      <c r="C136">
        <v>0.13401507233370399</v>
      </c>
      <c r="D136">
        <v>0.86598492766629498</v>
      </c>
      <c r="E136">
        <v>1</v>
      </c>
    </row>
    <row r="137" spans="1:5" x14ac:dyDescent="0.2">
      <c r="A137">
        <f t="shared" si="2"/>
        <v>135</v>
      </c>
      <c r="B137">
        <v>1</v>
      </c>
      <c r="C137">
        <v>8.4544949832619398E-2</v>
      </c>
      <c r="D137">
        <v>0.91545505016738005</v>
      </c>
      <c r="E137">
        <v>1</v>
      </c>
    </row>
    <row r="138" spans="1:5" x14ac:dyDescent="0.2">
      <c r="A138">
        <f t="shared" si="2"/>
        <v>136</v>
      </c>
      <c r="B138">
        <v>0</v>
      </c>
      <c r="C138">
        <v>0.75702518889234005</v>
      </c>
      <c r="D138">
        <v>0.24297481110765901</v>
      </c>
      <c r="E138">
        <v>0</v>
      </c>
    </row>
    <row r="139" spans="1:5" x14ac:dyDescent="0.2">
      <c r="A139">
        <f t="shared" si="2"/>
        <v>137</v>
      </c>
      <c r="B139">
        <v>1</v>
      </c>
      <c r="C139">
        <v>0.26886434325654102</v>
      </c>
      <c r="D139">
        <v>0.73113565674345804</v>
      </c>
      <c r="E139">
        <v>1</v>
      </c>
    </row>
    <row r="140" spans="1:5" x14ac:dyDescent="0.2">
      <c r="A140">
        <f t="shared" si="2"/>
        <v>138</v>
      </c>
      <c r="B140">
        <v>1</v>
      </c>
      <c r="C140">
        <v>0.35504389074395398</v>
      </c>
      <c r="D140">
        <v>0.64495610925604496</v>
      </c>
      <c r="E140">
        <v>1</v>
      </c>
    </row>
    <row r="141" spans="1:5" x14ac:dyDescent="0.2">
      <c r="A141">
        <f t="shared" si="2"/>
        <v>139</v>
      </c>
      <c r="B141">
        <v>0</v>
      </c>
      <c r="C141">
        <v>0.48579403022614398</v>
      </c>
      <c r="D141">
        <v>0.51420596977385502</v>
      </c>
      <c r="E141">
        <v>1</v>
      </c>
    </row>
    <row r="142" spans="1:5" x14ac:dyDescent="0.2">
      <c r="A142">
        <f t="shared" si="2"/>
        <v>140</v>
      </c>
      <c r="B142">
        <v>1</v>
      </c>
      <c r="C142">
        <v>0.117280992114618</v>
      </c>
      <c r="D142">
        <v>0.88271900788538105</v>
      </c>
      <c r="E142">
        <v>1</v>
      </c>
    </row>
    <row r="143" spans="1:5" x14ac:dyDescent="0.2">
      <c r="A143">
        <f t="shared" si="2"/>
        <v>141</v>
      </c>
      <c r="B143">
        <v>0</v>
      </c>
      <c r="C143">
        <v>0.76025575181913996</v>
      </c>
      <c r="D143">
        <v>0.23974424818085899</v>
      </c>
      <c r="E143">
        <v>0</v>
      </c>
    </row>
    <row r="144" spans="1:5" x14ac:dyDescent="0.2">
      <c r="A144">
        <f t="shared" si="2"/>
        <v>142</v>
      </c>
      <c r="B144">
        <v>1</v>
      </c>
      <c r="C144">
        <v>0.27063113603419198</v>
      </c>
      <c r="D144">
        <v>0.72936886396580702</v>
      </c>
      <c r="E144">
        <v>1</v>
      </c>
    </row>
    <row r="145" spans="1:5" x14ac:dyDescent="0.2">
      <c r="A145">
        <f t="shared" si="2"/>
        <v>143</v>
      </c>
      <c r="B145">
        <v>0</v>
      </c>
      <c r="C145">
        <v>0.66650289179223299</v>
      </c>
      <c r="D145">
        <v>0.33349710820776601</v>
      </c>
      <c r="E145">
        <v>0</v>
      </c>
    </row>
    <row r="146" spans="1:5" x14ac:dyDescent="0.2">
      <c r="A146">
        <f t="shared" si="2"/>
        <v>144</v>
      </c>
      <c r="B146">
        <v>1</v>
      </c>
      <c r="C146">
        <v>0.299860409460599</v>
      </c>
      <c r="D146">
        <v>0.7001395905394</v>
      </c>
      <c r="E146">
        <v>1</v>
      </c>
    </row>
    <row r="147" spans="1:5" x14ac:dyDescent="0.2">
      <c r="A147">
        <f t="shared" si="2"/>
        <v>145</v>
      </c>
      <c r="B147">
        <v>1</v>
      </c>
      <c r="C147">
        <v>6.5322544728043996E-2</v>
      </c>
      <c r="D147">
        <v>0.934677455271956</v>
      </c>
      <c r="E147">
        <v>1</v>
      </c>
    </row>
    <row r="148" spans="1:5" x14ac:dyDescent="0.2">
      <c r="A148">
        <f t="shared" si="2"/>
        <v>146</v>
      </c>
      <c r="B148">
        <v>1</v>
      </c>
      <c r="C148">
        <v>0.39271216693817601</v>
      </c>
      <c r="D148">
        <v>0.60728783306182299</v>
      </c>
      <c r="E148">
        <v>1</v>
      </c>
    </row>
    <row r="149" spans="1:5" x14ac:dyDescent="0.2">
      <c r="A149">
        <f t="shared" si="2"/>
        <v>147</v>
      </c>
      <c r="B149">
        <v>1</v>
      </c>
      <c r="C149">
        <v>0.27554670281010102</v>
      </c>
      <c r="D149">
        <v>0.72445329718989804</v>
      </c>
      <c r="E149">
        <v>1</v>
      </c>
    </row>
    <row r="150" spans="1:5" x14ac:dyDescent="0.2">
      <c r="A150">
        <f t="shared" si="2"/>
        <v>148</v>
      </c>
      <c r="B150">
        <v>1</v>
      </c>
      <c r="C150">
        <v>0.15664168779430901</v>
      </c>
      <c r="D150">
        <v>0.84335831220569002</v>
      </c>
      <c r="E150">
        <v>1</v>
      </c>
    </row>
    <row r="151" spans="1:5" x14ac:dyDescent="0.2">
      <c r="A151">
        <f t="shared" si="2"/>
        <v>149</v>
      </c>
      <c r="B151">
        <v>0</v>
      </c>
      <c r="C151">
        <v>0.65950496640613998</v>
      </c>
      <c r="D151">
        <v>0.34049503359385902</v>
      </c>
      <c r="E151">
        <v>0</v>
      </c>
    </row>
    <row r="152" spans="1:5" x14ac:dyDescent="0.2">
      <c r="A152">
        <f t="shared" si="2"/>
        <v>150</v>
      </c>
      <c r="B152">
        <v>0</v>
      </c>
      <c r="C152">
        <v>8.4669761835666199E-2</v>
      </c>
      <c r="D152">
        <v>0.91533023816433301</v>
      </c>
      <c r="E152">
        <v>1</v>
      </c>
    </row>
    <row r="153" spans="1:5" x14ac:dyDescent="0.2">
      <c r="A153">
        <f t="shared" si="2"/>
        <v>151</v>
      </c>
      <c r="B153">
        <v>1</v>
      </c>
      <c r="C153">
        <v>0.69769425226210302</v>
      </c>
      <c r="D153">
        <v>0.30230574773789598</v>
      </c>
      <c r="E153">
        <v>0</v>
      </c>
    </row>
    <row r="154" spans="1:5" x14ac:dyDescent="0.2">
      <c r="A154">
        <f t="shared" si="2"/>
        <v>152</v>
      </c>
      <c r="B154">
        <v>0</v>
      </c>
      <c r="C154">
        <v>9.6431120277745905E-2</v>
      </c>
      <c r="D154">
        <v>0.90356887972225397</v>
      </c>
      <c r="E154">
        <v>1</v>
      </c>
    </row>
    <row r="155" spans="1:5" x14ac:dyDescent="0.2">
      <c r="A155">
        <f t="shared" si="2"/>
        <v>153</v>
      </c>
      <c r="B155">
        <v>1</v>
      </c>
      <c r="C155">
        <v>0.23337679864709401</v>
      </c>
      <c r="D155">
        <v>0.76662320135290596</v>
      </c>
      <c r="E155">
        <v>1</v>
      </c>
    </row>
    <row r="156" spans="1:5" x14ac:dyDescent="0.2">
      <c r="A156">
        <f t="shared" si="2"/>
        <v>154</v>
      </c>
      <c r="B156">
        <v>0</v>
      </c>
      <c r="C156">
        <v>0.38965652511280502</v>
      </c>
      <c r="D156">
        <v>0.61034347488719398</v>
      </c>
      <c r="E156">
        <v>1</v>
      </c>
    </row>
    <row r="157" spans="1:5" x14ac:dyDescent="0.2">
      <c r="A157">
        <f t="shared" si="2"/>
        <v>155</v>
      </c>
      <c r="B157">
        <v>0</v>
      </c>
      <c r="C157">
        <v>0.56842974929308798</v>
      </c>
      <c r="D157">
        <v>0.43157025070691102</v>
      </c>
      <c r="E157">
        <v>0</v>
      </c>
    </row>
    <row r="158" spans="1:5" x14ac:dyDescent="0.2">
      <c r="A158">
        <f t="shared" si="2"/>
        <v>156</v>
      </c>
      <c r="B158">
        <v>0</v>
      </c>
      <c r="C158">
        <v>0.53400946481075595</v>
      </c>
      <c r="D158">
        <v>0.46599053518924299</v>
      </c>
      <c r="E158">
        <v>0</v>
      </c>
    </row>
    <row r="159" spans="1:5" x14ac:dyDescent="0.2">
      <c r="A159">
        <f t="shared" si="2"/>
        <v>157</v>
      </c>
      <c r="B159">
        <v>0</v>
      </c>
      <c r="C159">
        <v>0.56409911280301706</v>
      </c>
      <c r="D159">
        <v>0.435900887196982</v>
      </c>
      <c r="E159">
        <v>0</v>
      </c>
    </row>
    <row r="160" spans="1:5" x14ac:dyDescent="0.2">
      <c r="A160">
        <f t="shared" si="2"/>
        <v>158</v>
      </c>
      <c r="B160">
        <v>0</v>
      </c>
      <c r="C160">
        <v>0.31327244195659598</v>
      </c>
      <c r="D160">
        <v>0.68672755804340302</v>
      </c>
      <c r="E160">
        <v>1</v>
      </c>
    </row>
    <row r="161" spans="1:5" x14ac:dyDescent="0.2">
      <c r="A161">
        <f t="shared" si="2"/>
        <v>159</v>
      </c>
      <c r="B161">
        <v>1</v>
      </c>
      <c r="C161">
        <v>0.52415741302443397</v>
      </c>
      <c r="D161">
        <v>0.47584258697556497</v>
      </c>
      <c r="E161">
        <v>0</v>
      </c>
    </row>
    <row r="162" spans="1:5" x14ac:dyDescent="0.2">
      <c r="A162">
        <f t="shared" si="2"/>
        <v>160</v>
      </c>
      <c r="B162">
        <v>0</v>
      </c>
      <c r="C162">
        <v>0.116923082189252</v>
      </c>
      <c r="D162">
        <v>0.88307691781074704</v>
      </c>
      <c r="E162">
        <v>1</v>
      </c>
    </row>
    <row r="163" spans="1:5" x14ac:dyDescent="0.2">
      <c r="A163">
        <f t="shared" si="2"/>
        <v>161</v>
      </c>
      <c r="B163">
        <v>0</v>
      </c>
      <c r="C163">
        <v>0.60562783860859004</v>
      </c>
      <c r="D163">
        <v>0.39437216139140902</v>
      </c>
      <c r="E163">
        <v>0</v>
      </c>
    </row>
    <row r="164" spans="1:5" x14ac:dyDescent="0.2">
      <c r="A164">
        <f t="shared" si="2"/>
        <v>162</v>
      </c>
      <c r="B164">
        <v>1</v>
      </c>
      <c r="C164">
        <v>0.51899216178449803</v>
      </c>
      <c r="D164">
        <v>0.48100783821550103</v>
      </c>
      <c r="E164">
        <v>0</v>
      </c>
    </row>
    <row r="165" spans="1:5" x14ac:dyDescent="0.2">
      <c r="A165">
        <f t="shared" si="2"/>
        <v>163</v>
      </c>
      <c r="B165">
        <v>1</v>
      </c>
      <c r="C165">
        <v>0.44501333059346398</v>
      </c>
      <c r="D165">
        <v>0.55498666940653496</v>
      </c>
      <c r="E165">
        <v>1</v>
      </c>
    </row>
    <row r="166" spans="1:5" x14ac:dyDescent="0.2">
      <c r="A166">
        <f t="shared" si="2"/>
        <v>164</v>
      </c>
      <c r="B166">
        <v>0</v>
      </c>
      <c r="C166">
        <v>0.69092089518739497</v>
      </c>
      <c r="D166">
        <v>0.30907910481260398</v>
      </c>
      <c r="E166">
        <v>0</v>
      </c>
    </row>
    <row r="167" spans="1:5" x14ac:dyDescent="0.2">
      <c r="A167">
        <f t="shared" si="2"/>
        <v>165</v>
      </c>
      <c r="B167">
        <v>1</v>
      </c>
      <c r="C167">
        <v>0.32715662493913</v>
      </c>
      <c r="D167">
        <v>0.672843375060869</v>
      </c>
      <c r="E167">
        <v>1</v>
      </c>
    </row>
    <row r="168" spans="1:5" x14ac:dyDescent="0.2">
      <c r="A168">
        <f t="shared" si="2"/>
        <v>166</v>
      </c>
      <c r="B168">
        <v>1</v>
      </c>
      <c r="C168">
        <v>0.307490406676588</v>
      </c>
      <c r="D168">
        <v>0.692509593323411</v>
      </c>
      <c r="E168">
        <v>1</v>
      </c>
    </row>
    <row r="169" spans="1:5" x14ac:dyDescent="0.2">
      <c r="A169">
        <f t="shared" si="2"/>
        <v>167</v>
      </c>
      <c r="B169">
        <v>1</v>
      </c>
      <c r="C169">
        <v>0.21891851682114299</v>
      </c>
      <c r="D169">
        <v>0.78108148317885595</v>
      </c>
      <c r="E169">
        <v>1</v>
      </c>
    </row>
    <row r="170" spans="1:5" x14ac:dyDescent="0.2">
      <c r="A170">
        <f t="shared" si="2"/>
        <v>168</v>
      </c>
      <c r="B170">
        <v>0</v>
      </c>
      <c r="C170">
        <v>0.11474333455334999</v>
      </c>
      <c r="D170">
        <v>0.88525666544664905</v>
      </c>
      <c r="E170">
        <v>1</v>
      </c>
    </row>
    <row r="171" spans="1:5" x14ac:dyDescent="0.2">
      <c r="A171">
        <f t="shared" si="2"/>
        <v>169</v>
      </c>
      <c r="B171">
        <v>1</v>
      </c>
      <c r="C171">
        <v>0.33290418266782101</v>
      </c>
      <c r="D171">
        <v>0.66709581733217804</v>
      </c>
      <c r="E171">
        <v>1</v>
      </c>
    </row>
    <row r="172" spans="1:5" x14ac:dyDescent="0.2">
      <c r="A172">
        <f t="shared" si="2"/>
        <v>170</v>
      </c>
      <c r="B172">
        <v>1</v>
      </c>
      <c r="C172">
        <v>0.33237817256942198</v>
      </c>
      <c r="D172">
        <v>0.66762182743057696</v>
      </c>
      <c r="E172">
        <v>1</v>
      </c>
    </row>
    <row r="173" spans="1:5" x14ac:dyDescent="0.2">
      <c r="A173">
        <f t="shared" si="2"/>
        <v>171</v>
      </c>
      <c r="B173">
        <v>0</v>
      </c>
      <c r="C173">
        <v>0.61914961331369101</v>
      </c>
      <c r="D173">
        <v>0.380850386686308</v>
      </c>
      <c r="E173">
        <v>0</v>
      </c>
    </row>
    <row r="174" spans="1:5" x14ac:dyDescent="0.2">
      <c r="A174">
        <f t="shared" si="2"/>
        <v>172</v>
      </c>
      <c r="B174">
        <v>1</v>
      </c>
      <c r="C174">
        <v>0.242775916142313</v>
      </c>
      <c r="D174">
        <v>0.75722408385768603</v>
      </c>
      <c r="E174">
        <v>1</v>
      </c>
    </row>
    <row r="175" spans="1:5" x14ac:dyDescent="0.2">
      <c r="A175">
        <f t="shared" si="2"/>
        <v>173</v>
      </c>
      <c r="B175">
        <v>1</v>
      </c>
      <c r="C175">
        <v>0.29244533845704701</v>
      </c>
      <c r="D175">
        <v>0.70755466154295199</v>
      </c>
      <c r="E175">
        <v>1</v>
      </c>
    </row>
    <row r="176" spans="1:5" x14ac:dyDescent="0.2">
      <c r="A176">
        <f t="shared" si="2"/>
        <v>174</v>
      </c>
      <c r="B176">
        <v>1</v>
      </c>
      <c r="C176">
        <v>0.36717398424111303</v>
      </c>
      <c r="D176">
        <v>0.63282601575888597</v>
      </c>
      <c r="E176">
        <v>1</v>
      </c>
    </row>
    <row r="177" spans="1:5" x14ac:dyDescent="0.2">
      <c r="A177">
        <f t="shared" si="2"/>
        <v>175</v>
      </c>
      <c r="B177">
        <v>0</v>
      </c>
      <c r="C177">
        <v>0.69629452308208795</v>
      </c>
      <c r="D177">
        <v>0.303705476917911</v>
      </c>
      <c r="E177">
        <v>0</v>
      </c>
    </row>
    <row r="178" spans="1:5" x14ac:dyDescent="0.2">
      <c r="A178">
        <f t="shared" si="2"/>
        <v>176</v>
      </c>
      <c r="B178">
        <v>0</v>
      </c>
      <c r="C178">
        <v>0.29756891371646099</v>
      </c>
      <c r="D178">
        <v>0.70243108628353801</v>
      </c>
      <c r="E178">
        <v>1</v>
      </c>
    </row>
    <row r="179" spans="1:5" x14ac:dyDescent="0.2">
      <c r="A179">
        <f t="shared" si="2"/>
        <v>177</v>
      </c>
      <c r="B179">
        <v>0</v>
      </c>
      <c r="C179">
        <v>0.57251257493956198</v>
      </c>
      <c r="D179">
        <v>0.42748742506043702</v>
      </c>
      <c r="E179">
        <v>0</v>
      </c>
    </row>
    <row r="180" spans="1:5" x14ac:dyDescent="0.2">
      <c r="A180">
        <f t="shared" si="2"/>
        <v>178</v>
      </c>
      <c r="B180">
        <v>1</v>
      </c>
      <c r="C180">
        <v>0.48293966373122399</v>
      </c>
      <c r="D180">
        <v>0.51706033626877501</v>
      </c>
      <c r="E180">
        <v>1</v>
      </c>
    </row>
    <row r="181" spans="1:5" x14ac:dyDescent="0.2">
      <c r="A181">
        <f t="shared" si="2"/>
        <v>179</v>
      </c>
      <c r="B181">
        <v>0</v>
      </c>
      <c r="C181">
        <v>0.69551089254609799</v>
      </c>
      <c r="D181">
        <v>0.30448910745390101</v>
      </c>
      <c r="E181">
        <v>0</v>
      </c>
    </row>
    <row r="182" spans="1:5" x14ac:dyDescent="0.2">
      <c r="A182">
        <f t="shared" si="2"/>
        <v>180</v>
      </c>
      <c r="B182">
        <v>1</v>
      </c>
      <c r="C182">
        <v>0.46684649874114398</v>
      </c>
      <c r="D182">
        <v>0.53315350125885497</v>
      </c>
      <c r="E182">
        <v>1</v>
      </c>
    </row>
    <row r="183" spans="1:5" x14ac:dyDescent="0.2">
      <c r="A183">
        <f t="shared" si="2"/>
        <v>181</v>
      </c>
      <c r="B183">
        <v>0</v>
      </c>
      <c r="C183">
        <v>0.75312170932141098</v>
      </c>
      <c r="D183">
        <v>0.24687829067858799</v>
      </c>
      <c r="E183">
        <v>0</v>
      </c>
    </row>
    <row r="184" spans="1:5" x14ac:dyDescent="0.2">
      <c r="A184">
        <f t="shared" si="2"/>
        <v>182</v>
      </c>
      <c r="B184">
        <v>0</v>
      </c>
      <c r="C184">
        <v>0.14433862793601299</v>
      </c>
      <c r="D184">
        <v>0.85566137206398596</v>
      </c>
      <c r="E184">
        <v>1</v>
      </c>
    </row>
    <row r="185" spans="1:5" x14ac:dyDescent="0.2">
      <c r="A185">
        <f t="shared" si="2"/>
        <v>183</v>
      </c>
      <c r="B185">
        <v>1</v>
      </c>
      <c r="C185">
        <v>0.23777838029922499</v>
      </c>
      <c r="D185">
        <v>0.76222161970077396</v>
      </c>
      <c r="E185">
        <v>1</v>
      </c>
    </row>
    <row r="186" spans="1:5" x14ac:dyDescent="0.2">
      <c r="A186">
        <f t="shared" si="2"/>
        <v>184</v>
      </c>
      <c r="B186">
        <v>1</v>
      </c>
      <c r="C186">
        <v>0.47569637223121702</v>
      </c>
      <c r="D186">
        <v>0.52430362776878203</v>
      </c>
      <c r="E186">
        <v>1</v>
      </c>
    </row>
    <row r="187" spans="1:5" x14ac:dyDescent="0.2">
      <c r="A187">
        <f t="shared" si="2"/>
        <v>185</v>
      </c>
      <c r="B187">
        <v>0</v>
      </c>
      <c r="C187">
        <v>0.121533068769257</v>
      </c>
      <c r="D187">
        <v>0.87846693123074204</v>
      </c>
      <c r="E187">
        <v>1</v>
      </c>
    </row>
    <row r="188" spans="1:5" x14ac:dyDescent="0.2">
      <c r="A188">
        <f t="shared" si="2"/>
        <v>186</v>
      </c>
      <c r="B188">
        <v>1</v>
      </c>
      <c r="C188">
        <v>0.41506780110979002</v>
      </c>
      <c r="D188">
        <v>0.58493219889020898</v>
      </c>
      <c r="E188">
        <v>1</v>
      </c>
    </row>
    <row r="189" spans="1:5" x14ac:dyDescent="0.2">
      <c r="A189">
        <f t="shared" si="2"/>
        <v>187</v>
      </c>
      <c r="B189">
        <v>1</v>
      </c>
      <c r="C189">
        <v>0.17563520788711501</v>
      </c>
      <c r="D189">
        <v>0.82436479211288405</v>
      </c>
      <c r="E189">
        <v>1</v>
      </c>
    </row>
    <row r="190" spans="1:5" x14ac:dyDescent="0.2">
      <c r="A190">
        <f t="shared" si="2"/>
        <v>188</v>
      </c>
      <c r="B190">
        <v>1</v>
      </c>
      <c r="C190">
        <v>0.419284441852046</v>
      </c>
      <c r="D190">
        <v>0.58071555814795295</v>
      </c>
      <c r="E190">
        <v>1</v>
      </c>
    </row>
    <row r="191" spans="1:5" x14ac:dyDescent="0.2">
      <c r="A191">
        <f t="shared" si="2"/>
        <v>189</v>
      </c>
      <c r="B191">
        <v>1</v>
      </c>
      <c r="C191">
        <v>4.6918077701862099E-2</v>
      </c>
      <c r="D191">
        <v>0.95308192229813704</v>
      </c>
      <c r="E191">
        <v>1</v>
      </c>
    </row>
    <row r="192" spans="1:5" x14ac:dyDescent="0.2">
      <c r="A192">
        <f t="shared" si="2"/>
        <v>190</v>
      </c>
      <c r="B192">
        <v>1</v>
      </c>
      <c r="C192">
        <v>0.31571184900468202</v>
      </c>
      <c r="D192">
        <v>0.68428815099531703</v>
      </c>
      <c r="E192">
        <v>1</v>
      </c>
    </row>
    <row r="193" spans="1:5" x14ac:dyDescent="0.2">
      <c r="A193">
        <f t="shared" si="2"/>
        <v>191</v>
      </c>
      <c r="B193">
        <v>0</v>
      </c>
      <c r="C193">
        <v>0.11363577711256199</v>
      </c>
      <c r="D193">
        <v>0.88636422288743699</v>
      </c>
      <c r="E193">
        <v>1</v>
      </c>
    </row>
    <row r="194" spans="1:5" x14ac:dyDescent="0.2">
      <c r="A194">
        <f t="shared" si="2"/>
        <v>192</v>
      </c>
      <c r="B194">
        <v>1</v>
      </c>
      <c r="C194">
        <v>0.16257984272083301</v>
      </c>
      <c r="D194">
        <v>0.83742015727916597</v>
      </c>
      <c r="E194">
        <v>1</v>
      </c>
    </row>
    <row r="195" spans="1:5" x14ac:dyDescent="0.2">
      <c r="A195">
        <f t="shared" si="2"/>
        <v>193</v>
      </c>
      <c r="B195">
        <v>1</v>
      </c>
      <c r="C195">
        <v>0.326231788050034</v>
      </c>
      <c r="D195">
        <v>0.67376821194996495</v>
      </c>
      <c r="E195">
        <v>1</v>
      </c>
    </row>
    <row r="196" spans="1:5" x14ac:dyDescent="0.2">
      <c r="A196">
        <f t="shared" ref="A196:A259" si="3">A195+1</f>
        <v>194</v>
      </c>
      <c r="B196">
        <v>1</v>
      </c>
      <c r="C196">
        <v>0.31176723546570501</v>
      </c>
      <c r="D196">
        <v>0.68823276453429405</v>
      </c>
      <c r="E196">
        <v>1</v>
      </c>
    </row>
    <row r="197" spans="1:5" x14ac:dyDescent="0.2">
      <c r="A197">
        <f t="shared" si="3"/>
        <v>195</v>
      </c>
      <c r="B197">
        <v>0</v>
      </c>
      <c r="C197">
        <v>0.55408984271941697</v>
      </c>
      <c r="D197">
        <v>0.44591015728058198</v>
      </c>
      <c r="E197">
        <v>0</v>
      </c>
    </row>
    <row r="198" spans="1:5" x14ac:dyDescent="0.2">
      <c r="A198">
        <f t="shared" si="3"/>
        <v>196</v>
      </c>
      <c r="B198">
        <v>1</v>
      </c>
      <c r="C198">
        <v>0.49996779850686501</v>
      </c>
      <c r="D198">
        <v>0.50003220149313399</v>
      </c>
      <c r="E198">
        <v>1</v>
      </c>
    </row>
    <row r="199" spans="1:5" x14ac:dyDescent="0.2">
      <c r="A199">
        <f t="shared" si="3"/>
        <v>197</v>
      </c>
      <c r="B199">
        <v>1</v>
      </c>
      <c r="C199">
        <v>0.155593233054059</v>
      </c>
      <c r="D199">
        <v>0.84440676694593997</v>
      </c>
      <c r="E199">
        <v>1</v>
      </c>
    </row>
    <row r="200" spans="1:5" x14ac:dyDescent="0.2">
      <c r="A200">
        <f t="shared" si="3"/>
        <v>198</v>
      </c>
      <c r="B200">
        <v>1</v>
      </c>
      <c r="C200">
        <v>0.36020230592508801</v>
      </c>
      <c r="D200">
        <v>0.63979769407491105</v>
      </c>
      <c r="E200">
        <v>1</v>
      </c>
    </row>
    <row r="201" spans="1:5" x14ac:dyDescent="0.2">
      <c r="A201">
        <f t="shared" si="3"/>
        <v>199</v>
      </c>
      <c r="B201">
        <v>1</v>
      </c>
      <c r="C201">
        <v>0.34404270866895897</v>
      </c>
      <c r="D201">
        <v>0.65595729133103997</v>
      </c>
      <c r="E201">
        <v>1</v>
      </c>
    </row>
    <row r="202" spans="1:5" x14ac:dyDescent="0.2">
      <c r="A202">
        <f t="shared" si="3"/>
        <v>200</v>
      </c>
      <c r="B202">
        <v>1</v>
      </c>
      <c r="C202">
        <v>0.31555514299339299</v>
      </c>
      <c r="D202">
        <v>0.68444485700660596</v>
      </c>
      <c r="E202">
        <v>1</v>
      </c>
    </row>
    <row r="203" spans="1:5" x14ac:dyDescent="0.2">
      <c r="A203">
        <f t="shared" si="3"/>
        <v>201</v>
      </c>
      <c r="B203">
        <v>1</v>
      </c>
      <c r="C203">
        <v>0.149106990034095</v>
      </c>
      <c r="D203">
        <v>0.850893009965904</v>
      </c>
      <c r="E203">
        <v>1</v>
      </c>
    </row>
    <row r="204" spans="1:5" x14ac:dyDescent="0.2">
      <c r="A204">
        <f t="shared" si="3"/>
        <v>202</v>
      </c>
      <c r="B204">
        <v>1</v>
      </c>
      <c r="C204">
        <v>0.34036807528809898</v>
      </c>
      <c r="D204">
        <v>0.65963192471190002</v>
      </c>
      <c r="E204">
        <v>1</v>
      </c>
    </row>
    <row r="205" spans="1:5" x14ac:dyDescent="0.2">
      <c r="A205">
        <f t="shared" si="3"/>
        <v>203</v>
      </c>
      <c r="B205">
        <v>0</v>
      </c>
      <c r="C205">
        <v>0.14578443815223799</v>
      </c>
      <c r="D205">
        <v>0.85421556184776104</v>
      </c>
      <c r="E205">
        <v>1</v>
      </c>
    </row>
    <row r="206" spans="1:5" x14ac:dyDescent="0.2">
      <c r="A206">
        <f t="shared" si="3"/>
        <v>204</v>
      </c>
      <c r="B206">
        <v>1</v>
      </c>
      <c r="C206">
        <v>0.11670704173786001</v>
      </c>
      <c r="D206">
        <v>0.88329295826213905</v>
      </c>
      <c r="E206">
        <v>1</v>
      </c>
    </row>
    <row r="207" spans="1:5" x14ac:dyDescent="0.2">
      <c r="A207">
        <f t="shared" si="3"/>
        <v>205</v>
      </c>
      <c r="B207">
        <v>0</v>
      </c>
      <c r="C207">
        <v>0.231983282287378</v>
      </c>
      <c r="D207">
        <v>0.76801671771262103</v>
      </c>
      <c r="E207">
        <v>1</v>
      </c>
    </row>
    <row r="208" spans="1:5" x14ac:dyDescent="0.2">
      <c r="A208">
        <f t="shared" si="3"/>
        <v>206</v>
      </c>
      <c r="B208">
        <v>1</v>
      </c>
      <c r="C208">
        <v>0.36187059885015399</v>
      </c>
      <c r="D208">
        <v>0.63812940114984495</v>
      </c>
      <c r="E208">
        <v>1</v>
      </c>
    </row>
    <row r="209" spans="1:5" x14ac:dyDescent="0.2">
      <c r="A209">
        <f t="shared" si="3"/>
        <v>207</v>
      </c>
      <c r="B209">
        <v>1</v>
      </c>
      <c r="C209">
        <v>0.28923921709920603</v>
      </c>
      <c r="D209">
        <v>0.71076078290079303</v>
      </c>
      <c r="E209">
        <v>1</v>
      </c>
    </row>
    <row r="210" spans="1:5" x14ac:dyDescent="0.2">
      <c r="A210">
        <f t="shared" si="3"/>
        <v>208</v>
      </c>
      <c r="B210">
        <v>1</v>
      </c>
      <c r="C210">
        <v>0.28063172859399699</v>
      </c>
      <c r="D210">
        <v>0.71936827140600201</v>
      </c>
      <c r="E210">
        <v>1</v>
      </c>
    </row>
    <row r="211" spans="1:5" x14ac:dyDescent="0.2">
      <c r="A211">
        <f t="shared" si="3"/>
        <v>209</v>
      </c>
      <c r="B211">
        <v>1</v>
      </c>
      <c r="C211">
        <v>0.37480688782848398</v>
      </c>
      <c r="D211">
        <v>0.62519311217151496</v>
      </c>
      <c r="E211">
        <v>1</v>
      </c>
    </row>
    <row r="212" spans="1:5" x14ac:dyDescent="0.2">
      <c r="A212">
        <f t="shared" si="3"/>
        <v>210</v>
      </c>
      <c r="B212">
        <v>0</v>
      </c>
      <c r="C212">
        <v>0.50387210407711203</v>
      </c>
      <c r="D212">
        <v>0.49612789592288797</v>
      </c>
      <c r="E212">
        <v>0</v>
      </c>
    </row>
    <row r="213" spans="1:5" x14ac:dyDescent="0.2">
      <c r="A213">
        <f t="shared" si="3"/>
        <v>211</v>
      </c>
      <c r="B213">
        <v>0</v>
      </c>
      <c r="C213">
        <v>0.58372538605829905</v>
      </c>
      <c r="D213">
        <v>0.41627461394170001</v>
      </c>
      <c r="E213">
        <v>0</v>
      </c>
    </row>
    <row r="214" spans="1:5" x14ac:dyDescent="0.2">
      <c r="A214">
        <f t="shared" si="3"/>
        <v>212</v>
      </c>
      <c r="B214">
        <v>1</v>
      </c>
      <c r="C214">
        <v>0.15468352469237001</v>
      </c>
      <c r="D214">
        <v>0.84531647530762899</v>
      </c>
      <c r="E214">
        <v>1</v>
      </c>
    </row>
    <row r="215" spans="1:5" x14ac:dyDescent="0.2">
      <c r="A215">
        <f t="shared" si="3"/>
        <v>213</v>
      </c>
      <c r="B215">
        <v>1</v>
      </c>
      <c r="C215">
        <v>0.172493215668758</v>
      </c>
      <c r="D215">
        <v>0.82750678433124103</v>
      </c>
      <c r="E215">
        <v>1</v>
      </c>
    </row>
    <row r="216" spans="1:5" x14ac:dyDescent="0.2">
      <c r="A216">
        <f t="shared" si="3"/>
        <v>214</v>
      </c>
      <c r="B216">
        <v>1</v>
      </c>
      <c r="C216">
        <v>0.37246639873509901</v>
      </c>
      <c r="D216">
        <v>0.62753360126489999</v>
      </c>
      <c r="E216">
        <v>1</v>
      </c>
    </row>
    <row r="217" spans="1:5" x14ac:dyDescent="0.2">
      <c r="A217">
        <f t="shared" si="3"/>
        <v>215</v>
      </c>
      <c r="B217">
        <v>1</v>
      </c>
      <c r="C217">
        <v>0.11004715587545599</v>
      </c>
      <c r="D217">
        <v>0.88995284412454301</v>
      </c>
      <c r="E217">
        <v>1</v>
      </c>
    </row>
    <row r="218" spans="1:5" x14ac:dyDescent="0.2">
      <c r="A218">
        <f t="shared" si="3"/>
        <v>216</v>
      </c>
      <c r="B218">
        <v>0</v>
      </c>
      <c r="C218">
        <v>0.258761506146721</v>
      </c>
      <c r="D218">
        <v>0.741238493853278</v>
      </c>
      <c r="E218">
        <v>1</v>
      </c>
    </row>
    <row r="219" spans="1:5" x14ac:dyDescent="0.2">
      <c r="A219">
        <f t="shared" si="3"/>
        <v>217</v>
      </c>
      <c r="B219">
        <v>1</v>
      </c>
      <c r="C219">
        <v>0.33397925673477202</v>
      </c>
      <c r="D219">
        <v>0.66602074326522798</v>
      </c>
      <c r="E219">
        <v>1</v>
      </c>
    </row>
    <row r="220" spans="1:5" x14ac:dyDescent="0.2">
      <c r="A220">
        <f t="shared" si="3"/>
        <v>218</v>
      </c>
      <c r="B220">
        <v>0</v>
      </c>
      <c r="C220">
        <v>0.229074471093861</v>
      </c>
      <c r="D220">
        <v>0.77092552890613897</v>
      </c>
      <c r="E220">
        <v>1</v>
      </c>
    </row>
    <row r="221" spans="1:5" x14ac:dyDescent="0.2">
      <c r="A221">
        <f t="shared" si="3"/>
        <v>219</v>
      </c>
      <c r="B221">
        <v>0</v>
      </c>
      <c r="C221">
        <v>0.28324976745032598</v>
      </c>
      <c r="D221">
        <v>0.71675023254967296</v>
      </c>
      <c r="E221">
        <v>1</v>
      </c>
    </row>
    <row r="222" spans="1:5" x14ac:dyDescent="0.2">
      <c r="A222">
        <f t="shared" si="3"/>
        <v>220</v>
      </c>
      <c r="B222">
        <v>1</v>
      </c>
      <c r="C222">
        <v>0.45580682132009398</v>
      </c>
      <c r="D222">
        <v>0.54419317867990502</v>
      </c>
      <c r="E222">
        <v>1</v>
      </c>
    </row>
    <row r="223" spans="1:5" x14ac:dyDescent="0.2">
      <c r="A223">
        <f t="shared" si="3"/>
        <v>221</v>
      </c>
      <c r="B223">
        <v>1</v>
      </c>
      <c r="C223">
        <v>0.114818543076169</v>
      </c>
      <c r="D223">
        <v>0.88518145692382999</v>
      </c>
      <c r="E223">
        <v>1</v>
      </c>
    </row>
    <row r="224" spans="1:5" x14ac:dyDescent="0.2">
      <c r="A224">
        <f t="shared" si="3"/>
        <v>222</v>
      </c>
      <c r="B224">
        <v>1</v>
      </c>
      <c r="C224">
        <v>9.3575518763545598E-2</v>
      </c>
      <c r="D224">
        <v>0.90642448123645403</v>
      </c>
      <c r="E224">
        <v>1</v>
      </c>
    </row>
    <row r="225" spans="1:5" x14ac:dyDescent="0.2">
      <c r="A225">
        <f t="shared" si="3"/>
        <v>223</v>
      </c>
      <c r="B225">
        <v>0</v>
      </c>
      <c r="C225">
        <v>0.118420113216181</v>
      </c>
      <c r="D225">
        <v>0.88157988678381805</v>
      </c>
      <c r="E225">
        <v>1</v>
      </c>
    </row>
    <row r="226" spans="1:5" x14ac:dyDescent="0.2">
      <c r="A226">
        <f t="shared" si="3"/>
        <v>224</v>
      </c>
      <c r="B226">
        <v>1</v>
      </c>
      <c r="C226">
        <v>9.0384901900281395E-2</v>
      </c>
      <c r="D226">
        <v>0.90961509809971797</v>
      </c>
      <c r="E226">
        <v>1</v>
      </c>
    </row>
    <row r="227" spans="1:5" x14ac:dyDescent="0.2">
      <c r="A227">
        <f t="shared" si="3"/>
        <v>225</v>
      </c>
      <c r="B227">
        <v>1</v>
      </c>
      <c r="C227">
        <v>0.11888060067003201</v>
      </c>
      <c r="D227">
        <v>0.88111939932996697</v>
      </c>
      <c r="E227">
        <v>1</v>
      </c>
    </row>
    <row r="228" spans="1:5" x14ac:dyDescent="0.2">
      <c r="A228">
        <f t="shared" si="3"/>
        <v>226</v>
      </c>
      <c r="B228">
        <v>1</v>
      </c>
      <c r="C228">
        <v>0.13509044679975901</v>
      </c>
      <c r="D228">
        <v>0.86490955320023999</v>
      </c>
      <c r="E228">
        <v>1</v>
      </c>
    </row>
    <row r="229" spans="1:5" x14ac:dyDescent="0.2">
      <c r="A229">
        <f t="shared" si="3"/>
        <v>227</v>
      </c>
      <c r="B229">
        <v>1</v>
      </c>
      <c r="C229">
        <v>0.41692655978883802</v>
      </c>
      <c r="D229">
        <v>0.58307344021116103</v>
      </c>
      <c r="E229">
        <v>1</v>
      </c>
    </row>
    <row r="230" spans="1:5" x14ac:dyDescent="0.2">
      <c r="A230">
        <f t="shared" si="3"/>
        <v>228</v>
      </c>
      <c r="B230">
        <v>1</v>
      </c>
      <c r="C230">
        <v>0.24688002564640901</v>
      </c>
      <c r="D230">
        <v>0.75311997435359002</v>
      </c>
      <c r="E230">
        <v>1</v>
      </c>
    </row>
    <row r="231" spans="1:5" x14ac:dyDescent="0.2">
      <c r="A231">
        <f t="shared" si="3"/>
        <v>229</v>
      </c>
      <c r="B231">
        <v>1</v>
      </c>
      <c r="C231">
        <v>0.293774800162516</v>
      </c>
      <c r="D231">
        <v>0.706225199837483</v>
      </c>
      <c r="E231">
        <v>1</v>
      </c>
    </row>
    <row r="232" spans="1:5" x14ac:dyDescent="0.2">
      <c r="A232">
        <f t="shared" si="3"/>
        <v>230</v>
      </c>
      <c r="B232">
        <v>1</v>
      </c>
      <c r="C232">
        <v>0.24505919629988099</v>
      </c>
      <c r="D232">
        <v>0.75494080370011796</v>
      </c>
      <c r="E232">
        <v>1</v>
      </c>
    </row>
    <row r="233" spans="1:5" x14ac:dyDescent="0.2">
      <c r="A233">
        <f t="shared" si="3"/>
        <v>231</v>
      </c>
      <c r="B233">
        <v>1</v>
      </c>
      <c r="C233">
        <v>0.38145424209809498</v>
      </c>
      <c r="D233">
        <v>0.61854575790190403</v>
      </c>
      <c r="E233">
        <v>1</v>
      </c>
    </row>
    <row r="234" spans="1:5" x14ac:dyDescent="0.2">
      <c r="A234">
        <f t="shared" si="3"/>
        <v>232</v>
      </c>
      <c r="B234">
        <v>1</v>
      </c>
      <c r="C234">
        <v>0.330051377715598</v>
      </c>
      <c r="D234">
        <v>0.669948622284401</v>
      </c>
      <c r="E234">
        <v>1</v>
      </c>
    </row>
    <row r="235" spans="1:5" x14ac:dyDescent="0.2">
      <c r="A235">
        <f t="shared" si="3"/>
        <v>233</v>
      </c>
      <c r="B235">
        <v>1</v>
      </c>
      <c r="C235">
        <v>0.59835038011520503</v>
      </c>
      <c r="D235">
        <v>0.40164961988479497</v>
      </c>
      <c r="E235">
        <v>0</v>
      </c>
    </row>
    <row r="236" spans="1:5" x14ac:dyDescent="0.2">
      <c r="A236">
        <f t="shared" si="3"/>
        <v>234</v>
      </c>
      <c r="B236">
        <v>0</v>
      </c>
      <c r="C236">
        <v>0.75672824354326695</v>
      </c>
      <c r="D236">
        <v>0.24327175645673199</v>
      </c>
      <c r="E236">
        <v>0</v>
      </c>
    </row>
    <row r="237" spans="1:5" x14ac:dyDescent="0.2">
      <c r="A237">
        <f t="shared" si="3"/>
        <v>235</v>
      </c>
      <c r="B237">
        <v>1</v>
      </c>
      <c r="C237">
        <v>0.102903754003495</v>
      </c>
      <c r="D237">
        <v>0.89709624599650395</v>
      </c>
      <c r="E237">
        <v>1</v>
      </c>
    </row>
    <row r="238" spans="1:5" x14ac:dyDescent="0.2">
      <c r="A238">
        <f t="shared" si="3"/>
        <v>236</v>
      </c>
      <c r="B238">
        <v>0</v>
      </c>
      <c r="C238">
        <v>0.46355419166759299</v>
      </c>
      <c r="D238">
        <v>0.53644580833240596</v>
      </c>
      <c r="E238">
        <v>1</v>
      </c>
    </row>
    <row r="239" spans="1:5" x14ac:dyDescent="0.2">
      <c r="A239">
        <f t="shared" si="3"/>
        <v>237</v>
      </c>
      <c r="B239">
        <v>1</v>
      </c>
      <c r="C239">
        <v>0.54223416007430103</v>
      </c>
      <c r="D239">
        <v>0.45776583992569803</v>
      </c>
      <c r="E239">
        <v>0</v>
      </c>
    </row>
    <row r="240" spans="1:5" x14ac:dyDescent="0.2">
      <c r="A240">
        <f t="shared" si="3"/>
        <v>238</v>
      </c>
      <c r="B240">
        <v>1</v>
      </c>
      <c r="C240">
        <v>0.18479289542483801</v>
      </c>
      <c r="D240">
        <v>0.81520710457516199</v>
      </c>
      <c r="E240">
        <v>1</v>
      </c>
    </row>
    <row r="241" spans="1:5" x14ac:dyDescent="0.2">
      <c r="A241">
        <f t="shared" si="3"/>
        <v>239</v>
      </c>
      <c r="B241">
        <v>0</v>
      </c>
      <c r="C241">
        <v>0.479211650366479</v>
      </c>
      <c r="D241">
        <v>0.52078834963352005</v>
      </c>
      <c r="E241">
        <v>1</v>
      </c>
    </row>
    <row r="242" spans="1:5" x14ac:dyDescent="0.2">
      <c r="A242">
        <f t="shared" si="3"/>
        <v>240</v>
      </c>
      <c r="B242">
        <v>1</v>
      </c>
      <c r="C242">
        <v>0.25358619599469401</v>
      </c>
      <c r="D242">
        <v>0.74641380400530499</v>
      </c>
      <c r="E242">
        <v>1</v>
      </c>
    </row>
    <row r="243" spans="1:5" x14ac:dyDescent="0.2">
      <c r="A243">
        <f t="shared" si="3"/>
        <v>241</v>
      </c>
      <c r="B243">
        <v>0</v>
      </c>
      <c r="C243">
        <v>0.24315245187682499</v>
      </c>
      <c r="D243">
        <v>0.75684754812317401</v>
      </c>
      <c r="E243">
        <v>1</v>
      </c>
    </row>
    <row r="244" spans="1:5" x14ac:dyDescent="0.2">
      <c r="A244">
        <f t="shared" si="3"/>
        <v>242</v>
      </c>
      <c r="B244">
        <v>0</v>
      </c>
      <c r="C244">
        <v>8.7827184360941904E-2</v>
      </c>
      <c r="D244">
        <v>0.91217281563905805</v>
      </c>
      <c r="E244">
        <v>1</v>
      </c>
    </row>
    <row r="245" spans="1:5" x14ac:dyDescent="0.2">
      <c r="A245">
        <f t="shared" si="3"/>
        <v>243</v>
      </c>
      <c r="B245">
        <v>1</v>
      </c>
      <c r="C245">
        <v>0.49115954554803998</v>
      </c>
      <c r="D245">
        <v>0.50884045445195902</v>
      </c>
      <c r="E245">
        <v>1</v>
      </c>
    </row>
    <row r="246" spans="1:5" x14ac:dyDescent="0.2">
      <c r="A246">
        <f t="shared" si="3"/>
        <v>244</v>
      </c>
      <c r="B246">
        <v>0</v>
      </c>
      <c r="C246">
        <v>0.24920147230790801</v>
      </c>
      <c r="D246">
        <v>0.75079852769209099</v>
      </c>
      <c r="E246">
        <v>1</v>
      </c>
    </row>
    <row r="247" spans="1:5" x14ac:dyDescent="0.2">
      <c r="A247">
        <f t="shared" si="3"/>
        <v>245</v>
      </c>
      <c r="B247">
        <v>1</v>
      </c>
      <c r="C247">
        <v>5.7445627964969201E-2</v>
      </c>
      <c r="D247">
        <v>0.94255437203503001</v>
      </c>
      <c r="E247">
        <v>1</v>
      </c>
    </row>
    <row r="248" spans="1:5" x14ac:dyDescent="0.2">
      <c r="A248">
        <f t="shared" si="3"/>
        <v>246</v>
      </c>
      <c r="B248">
        <v>0</v>
      </c>
      <c r="C248">
        <v>0.70668992579615797</v>
      </c>
      <c r="D248">
        <v>0.29331007420384198</v>
      </c>
      <c r="E248">
        <v>0</v>
      </c>
    </row>
    <row r="249" spans="1:5" x14ac:dyDescent="0.2">
      <c r="A249">
        <f t="shared" si="3"/>
        <v>247</v>
      </c>
      <c r="B249">
        <v>1</v>
      </c>
      <c r="C249">
        <v>9.3970191702778594E-2</v>
      </c>
      <c r="D249">
        <v>0.90602980829722102</v>
      </c>
      <c r="E249">
        <v>1</v>
      </c>
    </row>
    <row r="250" spans="1:5" x14ac:dyDescent="0.2">
      <c r="A250">
        <f t="shared" si="3"/>
        <v>248</v>
      </c>
      <c r="B250">
        <v>1</v>
      </c>
      <c r="C250">
        <v>0.29076737013153298</v>
      </c>
      <c r="D250">
        <v>0.70923262986846602</v>
      </c>
      <c r="E250">
        <v>1</v>
      </c>
    </row>
    <row r="251" spans="1:5" x14ac:dyDescent="0.2">
      <c r="A251">
        <f t="shared" si="3"/>
        <v>249</v>
      </c>
      <c r="B251">
        <v>1</v>
      </c>
      <c r="C251">
        <v>0.32990996893159502</v>
      </c>
      <c r="D251">
        <v>0.67009003106840404</v>
      </c>
      <c r="E251">
        <v>1</v>
      </c>
    </row>
    <row r="252" spans="1:5" x14ac:dyDescent="0.2">
      <c r="A252">
        <f t="shared" si="3"/>
        <v>250</v>
      </c>
      <c r="B252">
        <v>1</v>
      </c>
      <c r="C252">
        <v>0.209999852324256</v>
      </c>
      <c r="D252">
        <v>0.790000147675743</v>
      </c>
      <c r="E252">
        <v>1</v>
      </c>
    </row>
    <row r="253" spans="1:5" x14ac:dyDescent="0.2">
      <c r="A253">
        <f t="shared" si="3"/>
        <v>251</v>
      </c>
      <c r="B253">
        <v>0</v>
      </c>
      <c r="C253">
        <v>0.47736289163957002</v>
      </c>
      <c r="D253">
        <v>0.52263710836042898</v>
      </c>
      <c r="E253">
        <v>1</v>
      </c>
    </row>
    <row r="254" spans="1:5" x14ac:dyDescent="0.2">
      <c r="A254">
        <f t="shared" si="3"/>
        <v>252</v>
      </c>
      <c r="B254">
        <v>1</v>
      </c>
      <c r="C254">
        <v>0.460815389856161</v>
      </c>
      <c r="D254">
        <v>0.53918461014383801</v>
      </c>
      <c r="E254">
        <v>1</v>
      </c>
    </row>
    <row r="255" spans="1:5" x14ac:dyDescent="0.2">
      <c r="A255">
        <f t="shared" si="3"/>
        <v>253</v>
      </c>
      <c r="B255">
        <v>1</v>
      </c>
      <c r="C255">
        <v>0.38408044177670497</v>
      </c>
      <c r="D255">
        <v>0.61591955822329403</v>
      </c>
      <c r="E255">
        <v>1</v>
      </c>
    </row>
    <row r="256" spans="1:5" x14ac:dyDescent="0.2">
      <c r="A256">
        <f t="shared" si="3"/>
        <v>254</v>
      </c>
      <c r="B256">
        <v>1</v>
      </c>
      <c r="C256">
        <v>0.14627891227098699</v>
      </c>
      <c r="D256">
        <v>0.85372108772901201</v>
      </c>
      <c r="E256">
        <v>1</v>
      </c>
    </row>
    <row r="257" spans="1:5" x14ac:dyDescent="0.2">
      <c r="A257">
        <f t="shared" si="3"/>
        <v>255</v>
      </c>
      <c r="B257">
        <v>1</v>
      </c>
      <c r="C257">
        <v>0.164910788500475</v>
      </c>
      <c r="D257">
        <v>0.83508921149952398</v>
      </c>
      <c r="E257">
        <v>1</v>
      </c>
    </row>
    <row r="258" spans="1:5" x14ac:dyDescent="0.2">
      <c r="A258">
        <f t="shared" si="3"/>
        <v>256</v>
      </c>
      <c r="B258">
        <v>1</v>
      </c>
      <c r="C258">
        <v>0.403148640243434</v>
      </c>
      <c r="D258">
        <v>0.596851359756565</v>
      </c>
      <c r="E258">
        <v>1</v>
      </c>
    </row>
    <row r="259" spans="1:5" x14ac:dyDescent="0.2">
      <c r="A259">
        <f t="shared" si="3"/>
        <v>257</v>
      </c>
      <c r="B259">
        <v>1</v>
      </c>
      <c r="C259">
        <v>0.33252195344361501</v>
      </c>
      <c r="D259">
        <v>0.66747804655638399</v>
      </c>
      <c r="E259">
        <v>1</v>
      </c>
    </row>
    <row r="260" spans="1:5" x14ac:dyDescent="0.2">
      <c r="A260">
        <f t="shared" ref="A260:A323" si="4">A259+1</f>
        <v>258</v>
      </c>
      <c r="B260">
        <v>1</v>
      </c>
      <c r="C260">
        <v>0.35882112486155499</v>
      </c>
      <c r="D260">
        <v>0.64117887513844496</v>
      </c>
      <c r="E260">
        <v>1</v>
      </c>
    </row>
    <row r="261" spans="1:5" x14ac:dyDescent="0.2">
      <c r="A261">
        <f t="shared" si="4"/>
        <v>259</v>
      </c>
      <c r="B261">
        <v>1</v>
      </c>
      <c r="C261">
        <v>0.34179201865543501</v>
      </c>
      <c r="D261">
        <v>0.65820798134456404</v>
      </c>
      <c r="E261">
        <v>1</v>
      </c>
    </row>
    <row r="262" spans="1:5" x14ac:dyDescent="0.2">
      <c r="A262">
        <f t="shared" si="4"/>
        <v>260</v>
      </c>
      <c r="B262">
        <v>1</v>
      </c>
      <c r="C262">
        <v>0.130388099956985</v>
      </c>
      <c r="D262">
        <v>0.86961190004301403</v>
      </c>
      <c r="E262">
        <v>1</v>
      </c>
    </row>
    <row r="263" spans="1:5" x14ac:dyDescent="0.2">
      <c r="A263">
        <f t="shared" si="4"/>
        <v>261</v>
      </c>
      <c r="B263">
        <v>1</v>
      </c>
      <c r="C263">
        <v>0.33953936742927499</v>
      </c>
      <c r="D263">
        <v>0.66046063257072396</v>
      </c>
      <c r="E263">
        <v>1</v>
      </c>
    </row>
    <row r="264" spans="1:5" x14ac:dyDescent="0.2">
      <c r="A264">
        <f t="shared" si="4"/>
        <v>262</v>
      </c>
      <c r="B264">
        <v>0</v>
      </c>
      <c r="C264">
        <v>0.17624644158295</v>
      </c>
      <c r="D264">
        <v>0.823753558417049</v>
      </c>
      <c r="E264">
        <v>1</v>
      </c>
    </row>
    <row r="265" spans="1:5" x14ac:dyDescent="0.2">
      <c r="A265">
        <f t="shared" si="4"/>
        <v>263</v>
      </c>
      <c r="B265">
        <v>0</v>
      </c>
      <c r="C265">
        <v>0.60165637151364404</v>
      </c>
      <c r="D265">
        <v>0.39834362848635502</v>
      </c>
      <c r="E265">
        <v>0</v>
      </c>
    </row>
    <row r="266" spans="1:5" x14ac:dyDescent="0.2">
      <c r="A266">
        <f t="shared" si="4"/>
        <v>264</v>
      </c>
      <c r="B266">
        <v>0</v>
      </c>
      <c r="C266">
        <v>0.72339284582967001</v>
      </c>
      <c r="D266">
        <v>0.27660715417032899</v>
      </c>
      <c r="E266">
        <v>0</v>
      </c>
    </row>
    <row r="267" spans="1:5" x14ac:dyDescent="0.2">
      <c r="A267">
        <f t="shared" si="4"/>
        <v>265</v>
      </c>
      <c r="B267">
        <v>1</v>
      </c>
      <c r="C267">
        <v>0.45461313661081898</v>
      </c>
      <c r="D267">
        <v>0.54538686338917997</v>
      </c>
      <c r="E267">
        <v>1</v>
      </c>
    </row>
    <row r="268" spans="1:5" x14ac:dyDescent="0.2">
      <c r="A268">
        <f t="shared" si="4"/>
        <v>266</v>
      </c>
      <c r="B268">
        <v>1</v>
      </c>
      <c r="C268">
        <v>0.158637346655433</v>
      </c>
      <c r="D268">
        <v>0.84136265334456595</v>
      </c>
      <c r="E268">
        <v>1</v>
      </c>
    </row>
    <row r="269" spans="1:5" x14ac:dyDescent="0.2">
      <c r="A269">
        <f t="shared" si="4"/>
        <v>267</v>
      </c>
      <c r="B269">
        <v>1</v>
      </c>
      <c r="C269">
        <v>0.63542216780036598</v>
      </c>
      <c r="D269">
        <v>0.36457783219963302</v>
      </c>
      <c r="E269">
        <v>0</v>
      </c>
    </row>
    <row r="270" spans="1:5" x14ac:dyDescent="0.2">
      <c r="A270">
        <f t="shared" si="4"/>
        <v>268</v>
      </c>
      <c r="B270">
        <v>1</v>
      </c>
      <c r="C270">
        <v>0.30262440210914898</v>
      </c>
      <c r="D270">
        <v>0.69737559789085002</v>
      </c>
      <c r="E270">
        <v>1</v>
      </c>
    </row>
    <row r="271" spans="1:5" x14ac:dyDescent="0.2">
      <c r="A271">
        <f t="shared" si="4"/>
        <v>269</v>
      </c>
      <c r="B271">
        <v>0</v>
      </c>
      <c r="C271">
        <v>0.58857271255664101</v>
      </c>
      <c r="D271">
        <v>0.41142728744335799</v>
      </c>
      <c r="E271">
        <v>0</v>
      </c>
    </row>
    <row r="272" spans="1:5" x14ac:dyDescent="0.2">
      <c r="A272">
        <f t="shared" si="4"/>
        <v>270</v>
      </c>
      <c r="B272">
        <v>1</v>
      </c>
      <c r="C272">
        <v>0.222126658861098</v>
      </c>
      <c r="D272">
        <v>0.77787334113890105</v>
      </c>
      <c r="E272">
        <v>1</v>
      </c>
    </row>
    <row r="273" spans="1:5" x14ac:dyDescent="0.2">
      <c r="A273">
        <f t="shared" si="4"/>
        <v>271</v>
      </c>
      <c r="B273">
        <v>1</v>
      </c>
      <c r="C273">
        <v>0.293192053362474</v>
      </c>
      <c r="D273">
        <v>0.706807946637525</v>
      </c>
      <c r="E273">
        <v>1</v>
      </c>
    </row>
    <row r="274" spans="1:5" x14ac:dyDescent="0.2">
      <c r="A274">
        <f t="shared" si="4"/>
        <v>272</v>
      </c>
      <c r="B274">
        <v>0</v>
      </c>
      <c r="C274">
        <v>0.55755742041737399</v>
      </c>
      <c r="D274">
        <v>0.44244257958262501</v>
      </c>
      <c r="E274">
        <v>0</v>
      </c>
    </row>
    <row r="275" spans="1:5" x14ac:dyDescent="0.2">
      <c r="A275">
        <f t="shared" si="4"/>
        <v>273</v>
      </c>
      <c r="B275">
        <v>1</v>
      </c>
      <c r="C275">
        <v>0.65647768033153198</v>
      </c>
      <c r="D275">
        <v>0.34352231966846702</v>
      </c>
      <c r="E275">
        <v>0</v>
      </c>
    </row>
    <row r="276" spans="1:5" x14ac:dyDescent="0.2">
      <c r="A276">
        <f t="shared" si="4"/>
        <v>274</v>
      </c>
      <c r="B276">
        <v>1</v>
      </c>
      <c r="C276">
        <v>0.14086257286939299</v>
      </c>
      <c r="D276">
        <v>0.85913742713060604</v>
      </c>
      <c r="E276">
        <v>1</v>
      </c>
    </row>
    <row r="277" spans="1:5" x14ac:dyDescent="0.2">
      <c r="A277">
        <f t="shared" si="4"/>
        <v>275</v>
      </c>
      <c r="B277">
        <v>1</v>
      </c>
      <c r="C277">
        <v>0.32678821604161501</v>
      </c>
      <c r="D277">
        <v>0.67321178395838399</v>
      </c>
      <c r="E277">
        <v>1</v>
      </c>
    </row>
    <row r="278" spans="1:5" x14ac:dyDescent="0.2">
      <c r="A278">
        <f t="shared" si="4"/>
        <v>276</v>
      </c>
      <c r="B278">
        <v>0</v>
      </c>
      <c r="C278">
        <v>7.3868210807919998E-2</v>
      </c>
      <c r="D278">
        <v>0.92613178919207995</v>
      </c>
      <c r="E278">
        <v>1</v>
      </c>
    </row>
    <row r="279" spans="1:5" x14ac:dyDescent="0.2">
      <c r="A279">
        <f t="shared" si="4"/>
        <v>277</v>
      </c>
      <c r="B279">
        <v>1</v>
      </c>
      <c r="C279">
        <v>0.406092544147795</v>
      </c>
      <c r="D279">
        <v>0.59390745585220395</v>
      </c>
      <c r="E279">
        <v>1</v>
      </c>
    </row>
    <row r="280" spans="1:5" x14ac:dyDescent="0.2">
      <c r="A280">
        <f t="shared" si="4"/>
        <v>278</v>
      </c>
      <c r="B280">
        <v>1</v>
      </c>
      <c r="C280">
        <v>0.221082797625095</v>
      </c>
      <c r="D280">
        <v>0.77891720237490403</v>
      </c>
      <c r="E280">
        <v>1</v>
      </c>
    </row>
    <row r="281" spans="1:5" x14ac:dyDescent="0.2">
      <c r="A281">
        <f t="shared" si="4"/>
        <v>279</v>
      </c>
      <c r="B281">
        <v>0</v>
      </c>
      <c r="C281">
        <v>0.47817569459750597</v>
      </c>
      <c r="D281">
        <v>0.52182430540249303</v>
      </c>
      <c r="E281">
        <v>1</v>
      </c>
    </row>
    <row r="282" spans="1:5" x14ac:dyDescent="0.2">
      <c r="A282">
        <f t="shared" si="4"/>
        <v>280</v>
      </c>
      <c r="B282">
        <v>1</v>
      </c>
      <c r="C282">
        <v>0.492064556855701</v>
      </c>
      <c r="D282">
        <v>0.50793544314429795</v>
      </c>
      <c r="E282">
        <v>1</v>
      </c>
    </row>
    <row r="283" spans="1:5" x14ac:dyDescent="0.2">
      <c r="A283">
        <f t="shared" si="4"/>
        <v>281</v>
      </c>
      <c r="B283">
        <v>0</v>
      </c>
      <c r="C283">
        <v>0.317818971653546</v>
      </c>
      <c r="D283">
        <v>0.682181028346453</v>
      </c>
      <c r="E283">
        <v>1</v>
      </c>
    </row>
    <row r="284" spans="1:5" x14ac:dyDescent="0.2">
      <c r="A284">
        <f t="shared" si="4"/>
        <v>282</v>
      </c>
      <c r="B284">
        <v>0</v>
      </c>
      <c r="C284">
        <v>0.581315980488193</v>
      </c>
      <c r="D284">
        <v>0.418684019511806</v>
      </c>
      <c r="E284">
        <v>0</v>
      </c>
    </row>
    <row r="285" spans="1:5" x14ac:dyDescent="0.2">
      <c r="A285">
        <f t="shared" si="4"/>
        <v>283</v>
      </c>
      <c r="B285">
        <v>0</v>
      </c>
      <c r="C285">
        <v>0.20026538233142899</v>
      </c>
      <c r="D285">
        <v>0.79973461766857001</v>
      </c>
      <c r="E285">
        <v>1</v>
      </c>
    </row>
    <row r="286" spans="1:5" x14ac:dyDescent="0.2">
      <c r="A286">
        <f t="shared" si="4"/>
        <v>284</v>
      </c>
      <c r="B286">
        <v>0</v>
      </c>
      <c r="C286">
        <v>0.26099325252351802</v>
      </c>
      <c r="D286">
        <v>0.73900674747648099</v>
      </c>
      <c r="E286">
        <v>1</v>
      </c>
    </row>
    <row r="287" spans="1:5" x14ac:dyDescent="0.2">
      <c r="A287">
        <f t="shared" si="4"/>
        <v>285</v>
      </c>
      <c r="B287">
        <v>1</v>
      </c>
      <c r="C287">
        <v>0.27158049470731899</v>
      </c>
      <c r="D287">
        <v>0.72841950529267996</v>
      </c>
      <c r="E287">
        <v>1</v>
      </c>
    </row>
    <row r="288" spans="1:5" x14ac:dyDescent="0.2">
      <c r="A288">
        <f t="shared" si="4"/>
        <v>286</v>
      </c>
      <c r="B288">
        <v>1</v>
      </c>
      <c r="C288">
        <v>6.0548217203128397E-2</v>
      </c>
      <c r="D288">
        <v>0.93945178279687103</v>
      </c>
      <c r="E288">
        <v>1</v>
      </c>
    </row>
    <row r="289" spans="1:5" x14ac:dyDescent="0.2">
      <c r="A289">
        <f t="shared" si="4"/>
        <v>287</v>
      </c>
      <c r="B289">
        <v>1</v>
      </c>
      <c r="C289">
        <v>0.16712433999908299</v>
      </c>
      <c r="D289">
        <v>0.83287566000091595</v>
      </c>
      <c r="E289">
        <v>1</v>
      </c>
    </row>
    <row r="290" spans="1:5" x14ac:dyDescent="0.2">
      <c r="A290">
        <f t="shared" si="4"/>
        <v>288</v>
      </c>
      <c r="B290">
        <v>0</v>
      </c>
      <c r="C290">
        <v>0.65339672797952197</v>
      </c>
      <c r="D290">
        <v>0.34660327202047703</v>
      </c>
      <c r="E290">
        <v>0</v>
      </c>
    </row>
    <row r="291" spans="1:5" x14ac:dyDescent="0.2">
      <c r="A291">
        <f t="shared" si="4"/>
        <v>289</v>
      </c>
      <c r="B291">
        <v>0</v>
      </c>
      <c r="C291">
        <v>0.53240914966711295</v>
      </c>
      <c r="D291">
        <v>0.467590850332886</v>
      </c>
      <c r="E291">
        <v>0</v>
      </c>
    </row>
    <row r="292" spans="1:5" x14ac:dyDescent="0.2">
      <c r="A292">
        <f t="shared" si="4"/>
        <v>290</v>
      </c>
      <c r="B292">
        <v>1</v>
      </c>
      <c r="C292">
        <v>0.148766680498265</v>
      </c>
      <c r="D292">
        <v>0.85123331950173398</v>
      </c>
      <c r="E292">
        <v>1</v>
      </c>
    </row>
    <row r="293" spans="1:5" x14ac:dyDescent="0.2">
      <c r="A293">
        <f t="shared" si="4"/>
        <v>291</v>
      </c>
      <c r="B293">
        <v>0</v>
      </c>
      <c r="C293">
        <v>0.57189629354016902</v>
      </c>
      <c r="D293">
        <v>0.42810370645982998</v>
      </c>
      <c r="E293">
        <v>0</v>
      </c>
    </row>
    <row r="294" spans="1:5" x14ac:dyDescent="0.2">
      <c r="A294">
        <f t="shared" si="4"/>
        <v>292</v>
      </c>
      <c r="B294">
        <v>1</v>
      </c>
      <c r="C294">
        <v>0.226095186262498</v>
      </c>
      <c r="D294">
        <v>0.77390481373750097</v>
      </c>
      <c r="E294">
        <v>1</v>
      </c>
    </row>
    <row r="295" spans="1:5" x14ac:dyDescent="0.2">
      <c r="A295">
        <f t="shared" si="4"/>
        <v>293</v>
      </c>
      <c r="B295">
        <v>1</v>
      </c>
      <c r="C295">
        <v>0.27318290242094601</v>
      </c>
      <c r="D295">
        <v>0.726817097579053</v>
      </c>
      <c r="E295">
        <v>1</v>
      </c>
    </row>
    <row r="296" spans="1:5" x14ac:dyDescent="0.2">
      <c r="A296">
        <f t="shared" si="4"/>
        <v>294</v>
      </c>
      <c r="B296">
        <v>1</v>
      </c>
      <c r="C296">
        <v>0.29925616136107702</v>
      </c>
      <c r="D296">
        <v>0.70074383863892198</v>
      </c>
      <c r="E296">
        <v>1</v>
      </c>
    </row>
    <row r="297" spans="1:5" x14ac:dyDescent="0.2">
      <c r="A297">
        <f t="shared" si="4"/>
        <v>295</v>
      </c>
      <c r="B297">
        <v>1</v>
      </c>
      <c r="C297">
        <v>0.27374413181205498</v>
      </c>
      <c r="D297">
        <v>0.72625586818794396</v>
      </c>
      <c r="E297">
        <v>1</v>
      </c>
    </row>
    <row r="298" spans="1:5" x14ac:dyDescent="0.2">
      <c r="A298">
        <f t="shared" si="4"/>
        <v>296</v>
      </c>
      <c r="B298">
        <v>0</v>
      </c>
      <c r="C298">
        <v>0.28199995822201401</v>
      </c>
      <c r="D298">
        <v>0.71800004177798504</v>
      </c>
      <c r="E298">
        <v>1</v>
      </c>
    </row>
    <row r="299" spans="1:5" x14ac:dyDescent="0.2">
      <c r="A299">
        <f t="shared" si="4"/>
        <v>297</v>
      </c>
      <c r="B299">
        <v>1</v>
      </c>
      <c r="C299">
        <v>0.35419913857142499</v>
      </c>
      <c r="D299">
        <v>0.64580086142857396</v>
      </c>
      <c r="E299">
        <v>1</v>
      </c>
    </row>
    <row r="300" spans="1:5" x14ac:dyDescent="0.2">
      <c r="A300">
        <f t="shared" si="4"/>
        <v>298</v>
      </c>
      <c r="B300">
        <v>1</v>
      </c>
      <c r="C300">
        <v>0.26898675342452699</v>
      </c>
      <c r="D300">
        <v>0.73101324657547195</v>
      </c>
      <c r="E300">
        <v>1</v>
      </c>
    </row>
    <row r="301" spans="1:5" x14ac:dyDescent="0.2">
      <c r="A301">
        <f t="shared" si="4"/>
        <v>299</v>
      </c>
      <c r="B301">
        <v>0</v>
      </c>
      <c r="C301">
        <v>0.40467611180049401</v>
      </c>
      <c r="D301">
        <v>0.59532388819950499</v>
      </c>
      <c r="E301">
        <v>1</v>
      </c>
    </row>
    <row r="302" spans="1:5" x14ac:dyDescent="0.2">
      <c r="A302">
        <f t="shared" si="4"/>
        <v>300</v>
      </c>
      <c r="B302">
        <v>1</v>
      </c>
      <c r="C302">
        <v>0.40703652695507297</v>
      </c>
      <c r="D302">
        <v>0.59296347304492603</v>
      </c>
      <c r="E302">
        <v>1</v>
      </c>
    </row>
    <row r="303" spans="1:5" x14ac:dyDescent="0.2">
      <c r="A303">
        <f t="shared" si="4"/>
        <v>301</v>
      </c>
      <c r="B303">
        <v>1</v>
      </c>
      <c r="C303">
        <v>0.228181169590225</v>
      </c>
      <c r="D303">
        <v>0.77181883040977395</v>
      </c>
      <c r="E303">
        <v>1</v>
      </c>
    </row>
    <row r="304" spans="1:5" x14ac:dyDescent="0.2">
      <c r="A304">
        <f t="shared" si="4"/>
        <v>302</v>
      </c>
      <c r="B304">
        <v>1</v>
      </c>
      <c r="C304">
        <v>0.228282541273229</v>
      </c>
      <c r="D304">
        <v>0.77171745872677</v>
      </c>
      <c r="E304">
        <v>1</v>
      </c>
    </row>
    <row r="305" spans="1:5" x14ac:dyDescent="0.2">
      <c r="A305">
        <f t="shared" si="4"/>
        <v>303</v>
      </c>
      <c r="B305">
        <v>1</v>
      </c>
      <c r="C305">
        <v>0.25084564556503902</v>
      </c>
      <c r="D305">
        <v>0.74915435443496003</v>
      </c>
      <c r="E305">
        <v>1</v>
      </c>
    </row>
    <row r="306" spans="1:5" x14ac:dyDescent="0.2">
      <c r="A306">
        <f t="shared" si="4"/>
        <v>304</v>
      </c>
      <c r="B306">
        <v>1</v>
      </c>
      <c r="C306">
        <v>0.122263799627587</v>
      </c>
      <c r="D306">
        <v>0.87773620037241196</v>
      </c>
      <c r="E306">
        <v>1</v>
      </c>
    </row>
    <row r="307" spans="1:5" x14ac:dyDescent="0.2">
      <c r="A307">
        <f t="shared" si="4"/>
        <v>305</v>
      </c>
      <c r="B307">
        <v>1</v>
      </c>
      <c r="C307">
        <v>0.100761668496054</v>
      </c>
      <c r="D307">
        <v>0.89923833150394505</v>
      </c>
      <c r="E307">
        <v>1</v>
      </c>
    </row>
    <row r="308" spans="1:5" x14ac:dyDescent="0.2">
      <c r="A308">
        <f t="shared" si="4"/>
        <v>306</v>
      </c>
      <c r="B308">
        <v>1</v>
      </c>
      <c r="C308">
        <v>0.17751077104589399</v>
      </c>
      <c r="D308">
        <v>0.82248922895410503</v>
      </c>
      <c r="E308">
        <v>1</v>
      </c>
    </row>
    <row r="309" spans="1:5" x14ac:dyDescent="0.2">
      <c r="A309">
        <f t="shared" si="4"/>
        <v>307</v>
      </c>
      <c r="B309">
        <v>0</v>
      </c>
      <c r="C309">
        <v>0.65194753076888401</v>
      </c>
      <c r="D309">
        <v>0.34805246923111499</v>
      </c>
      <c r="E309">
        <v>0</v>
      </c>
    </row>
    <row r="310" spans="1:5" x14ac:dyDescent="0.2">
      <c r="A310">
        <f t="shared" si="4"/>
        <v>308</v>
      </c>
      <c r="B310">
        <v>0</v>
      </c>
      <c r="C310">
        <v>0.187990830009645</v>
      </c>
      <c r="D310">
        <v>0.812009169990354</v>
      </c>
      <c r="E310">
        <v>1</v>
      </c>
    </row>
    <row r="311" spans="1:5" x14ac:dyDescent="0.2">
      <c r="A311">
        <f t="shared" si="4"/>
        <v>309</v>
      </c>
      <c r="B311">
        <v>1</v>
      </c>
      <c r="C311">
        <v>6.5327856328408596E-2</v>
      </c>
      <c r="D311">
        <v>0.93467214367159102</v>
      </c>
      <c r="E311">
        <v>1</v>
      </c>
    </row>
    <row r="312" spans="1:5" x14ac:dyDescent="0.2">
      <c r="A312">
        <f t="shared" si="4"/>
        <v>310</v>
      </c>
      <c r="B312">
        <v>1</v>
      </c>
      <c r="C312">
        <v>0.234067189161943</v>
      </c>
      <c r="D312">
        <v>0.76593281083805598</v>
      </c>
      <c r="E312">
        <v>1</v>
      </c>
    </row>
    <row r="313" spans="1:5" x14ac:dyDescent="0.2">
      <c r="A313">
        <f t="shared" si="4"/>
        <v>311</v>
      </c>
      <c r="B313">
        <v>1</v>
      </c>
      <c r="C313">
        <v>0.123798192581082</v>
      </c>
      <c r="D313">
        <v>0.87620180741891696</v>
      </c>
      <c r="E313">
        <v>1</v>
      </c>
    </row>
    <row r="314" spans="1:5" x14ac:dyDescent="0.2">
      <c r="A314">
        <f t="shared" si="4"/>
        <v>312</v>
      </c>
      <c r="B314">
        <v>0</v>
      </c>
      <c r="C314">
        <v>0.40983085955818799</v>
      </c>
      <c r="D314">
        <v>0.59016914044181101</v>
      </c>
      <c r="E314">
        <v>1</v>
      </c>
    </row>
    <row r="315" spans="1:5" x14ac:dyDescent="0.2">
      <c r="A315">
        <f t="shared" si="4"/>
        <v>313</v>
      </c>
      <c r="B315">
        <v>0</v>
      </c>
      <c r="C315">
        <v>0.46016692119865099</v>
      </c>
      <c r="D315">
        <v>0.53983307880134801</v>
      </c>
      <c r="E315">
        <v>1</v>
      </c>
    </row>
    <row r="316" spans="1:5" x14ac:dyDescent="0.2">
      <c r="A316">
        <f t="shared" si="4"/>
        <v>314</v>
      </c>
      <c r="B316">
        <v>1</v>
      </c>
      <c r="C316">
        <v>0.21638057887512099</v>
      </c>
      <c r="D316">
        <v>0.78361942112487804</v>
      </c>
      <c r="E316">
        <v>1</v>
      </c>
    </row>
    <row r="317" spans="1:5" x14ac:dyDescent="0.2">
      <c r="A317">
        <f t="shared" si="4"/>
        <v>315</v>
      </c>
      <c r="B317">
        <v>0</v>
      </c>
      <c r="C317">
        <v>0.460246149425933</v>
      </c>
      <c r="D317">
        <v>0.539753850574066</v>
      </c>
      <c r="E317">
        <v>1</v>
      </c>
    </row>
    <row r="318" spans="1:5" x14ac:dyDescent="0.2">
      <c r="A318">
        <f t="shared" si="4"/>
        <v>316</v>
      </c>
      <c r="B318">
        <v>1</v>
      </c>
      <c r="C318">
        <v>0.41958265785267901</v>
      </c>
      <c r="D318">
        <v>0.58041734214731999</v>
      </c>
      <c r="E318">
        <v>1</v>
      </c>
    </row>
    <row r="319" spans="1:5" x14ac:dyDescent="0.2">
      <c r="A319">
        <f t="shared" si="4"/>
        <v>317</v>
      </c>
      <c r="B319">
        <v>1</v>
      </c>
      <c r="C319">
        <v>0.15182142614027</v>
      </c>
      <c r="D319">
        <v>0.84817857385972895</v>
      </c>
      <c r="E319">
        <v>1</v>
      </c>
    </row>
    <row r="320" spans="1:5" x14ac:dyDescent="0.2">
      <c r="A320">
        <f t="shared" si="4"/>
        <v>318</v>
      </c>
      <c r="B320">
        <v>0</v>
      </c>
      <c r="C320">
        <v>0.74440235035125202</v>
      </c>
      <c r="D320">
        <v>0.25559764964874698</v>
      </c>
      <c r="E320">
        <v>0</v>
      </c>
    </row>
    <row r="321" spans="1:5" x14ac:dyDescent="0.2">
      <c r="A321">
        <f t="shared" si="4"/>
        <v>319</v>
      </c>
      <c r="B321">
        <v>0</v>
      </c>
      <c r="C321">
        <v>0.42105988515153397</v>
      </c>
      <c r="D321">
        <v>0.57894011484846497</v>
      </c>
      <c r="E321">
        <v>1</v>
      </c>
    </row>
    <row r="322" spans="1:5" x14ac:dyDescent="0.2">
      <c r="A322">
        <f t="shared" si="4"/>
        <v>320</v>
      </c>
      <c r="B322">
        <v>1</v>
      </c>
      <c r="C322">
        <v>0.33683371706656301</v>
      </c>
      <c r="D322">
        <v>0.66316628293343605</v>
      </c>
      <c r="E322">
        <v>1</v>
      </c>
    </row>
    <row r="323" spans="1:5" x14ac:dyDescent="0.2">
      <c r="A323">
        <f t="shared" si="4"/>
        <v>321</v>
      </c>
      <c r="B323">
        <v>1</v>
      </c>
      <c r="C323">
        <v>0.20004736023532599</v>
      </c>
      <c r="D323">
        <v>0.79995263976467301</v>
      </c>
      <c r="E323">
        <v>1</v>
      </c>
    </row>
    <row r="324" spans="1:5" x14ac:dyDescent="0.2">
      <c r="A324">
        <f t="shared" ref="A324:A387" si="5">A323+1</f>
        <v>322</v>
      </c>
      <c r="B324">
        <v>0</v>
      </c>
      <c r="C324">
        <v>0.50677657054531899</v>
      </c>
      <c r="D324">
        <v>0.49322342945468001</v>
      </c>
      <c r="E324">
        <v>0</v>
      </c>
    </row>
    <row r="325" spans="1:5" x14ac:dyDescent="0.2">
      <c r="A325">
        <f t="shared" si="5"/>
        <v>323</v>
      </c>
      <c r="B325">
        <v>1</v>
      </c>
      <c r="C325">
        <v>0.37448994398639801</v>
      </c>
      <c r="D325">
        <v>0.62551005601360199</v>
      </c>
      <c r="E325">
        <v>1</v>
      </c>
    </row>
    <row r="326" spans="1:5" x14ac:dyDescent="0.2">
      <c r="A326">
        <f t="shared" si="5"/>
        <v>324</v>
      </c>
      <c r="B326">
        <v>1</v>
      </c>
      <c r="C326">
        <v>0.192981801475509</v>
      </c>
      <c r="D326">
        <v>0.80701819852448997</v>
      </c>
      <c r="E326">
        <v>1</v>
      </c>
    </row>
    <row r="327" spans="1:5" x14ac:dyDescent="0.2">
      <c r="A327">
        <f t="shared" si="5"/>
        <v>325</v>
      </c>
      <c r="B327">
        <v>1</v>
      </c>
      <c r="C327">
        <v>0.292362884790758</v>
      </c>
      <c r="D327">
        <v>0.707637115209241</v>
      </c>
      <c r="E327">
        <v>1</v>
      </c>
    </row>
    <row r="328" spans="1:5" x14ac:dyDescent="0.2">
      <c r="A328">
        <f t="shared" si="5"/>
        <v>326</v>
      </c>
      <c r="B328">
        <v>1</v>
      </c>
      <c r="C328">
        <v>0.43517222180315002</v>
      </c>
      <c r="D328">
        <v>0.56482777819684904</v>
      </c>
      <c r="E328">
        <v>1</v>
      </c>
    </row>
    <row r="329" spans="1:5" x14ac:dyDescent="0.2">
      <c r="A329">
        <f t="shared" si="5"/>
        <v>327</v>
      </c>
      <c r="B329">
        <v>1</v>
      </c>
      <c r="C329">
        <v>0.57363821820748795</v>
      </c>
      <c r="D329">
        <v>0.426361781792512</v>
      </c>
      <c r="E329">
        <v>0</v>
      </c>
    </row>
    <row r="330" spans="1:5" x14ac:dyDescent="0.2">
      <c r="A330">
        <f t="shared" si="5"/>
        <v>328</v>
      </c>
      <c r="B330">
        <v>1</v>
      </c>
      <c r="C330">
        <v>0.43757778714511097</v>
      </c>
      <c r="D330">
        <v>0.56242221285488803</v>
      </c>
      <c r="E330">
        <v>1</v>
      </c>
    </row>
    <row r="331" spans="1:5" x14ac:dyDescent="0.2">
      <c r="A331">
        <f t="shared" si="5"/>
        <v>329</v>
      </c>
      <c r="B331">
        <v>0</v>
      </c>
      <c r="C331">
        <v>0.61796354702745404</v>
      </c>
      <c r="D331">
        <v>0.38203645297254502</v>
      </c>
      <c r="E331">
        <v>0</v>
      </c>
    </row>
    <row r="332" spans="1:5" x14ac:dyDescent="0.2">
      <c r="A332">
        <f t="shared" si="5"/>
        <v>330</v>
      </c>
      <c r="B332">
        <v>0</v>
      </c>
      <c r="C332">
        <v>0.82158174384212701</v>
      </c>
      <c r="D332">
        <v>0.17841825615787199</v>
      </c>
      <c r="E332">
        <v>0</v>
      </c>
    </row>
    <row r="333" spans="1:5" x14ac:dyDescent="0.2">
      <c r="A333">
        <f t="shared" si="5"/>
        <v>331</v>
      </c>
      <c r="B333">
        <v>1</v>
      </c>
      <c r="C333">
        <v>0.27781570733417399</v>
      </c>
      <c r="D333">
        <v>0.72218429266582496</v>
      </c>
      <c r="E333">
        <v>1</v>
      </c>
    </row>
    <row r="334" spans="1:5" x14ac:dyDescent="0.2">
      <c r="A334">
        <f t="shared" si="5"/>
        <v>332</v>
      </c>
      <c r="B334">
        <v>1</v>
      </c>
      <c r="C334">
        <v>0.16894138655559199</v>
      </c>
      <c r="D334">
        <v>0.83105861344440801</v>
      </c>
      <c r="E334">
        <v>1</v>
      </c>
    </row>
    <row r="335" spans="1:5" x14ac:dyDescent="0.2">
      <c r="A335">
        <f t="shared" si="5"/>
        <v>333</v>
      </c>
      <c r="B335">
        <v>1</v>
      </c>
      <c r="C335">
        <v>0.24004294574812199</v>
      </c>
      <c r="D335">
        <v>0.75995705425187798</v>
      </c>
      <c r="E335">
        <v>1</v>
      </c>
    </row>
    <row r="336" spans="1:5" x14ac:dyDescent="0.2">
      <c r="A336">
        <f t="shared" si="5"/>
        <v>334</v>
      </c>
      <c r="B336">
        <v>0</v>
      </c>
      <c r="C336">
        <v>0.443993155584614</v>
      </c>
      <c r="D336">
        <v>0.55600684441538495</v>
      </c>
      <c r="E336">
        <v>1</v>
      </c>
    </row>
    <row r="337" spans="1:5" x14ac:dyDescent="0.2">
      <c r="A337">
        <f t="shared" si="5"/>
        <v>335</v>
      </c>
      <c r="B337">
        <v>0</v>
      </c>
      <c r="C337">
        <v>0.24738606058746601</v>
      </c>
      <c r="D337">
        <v>0.75261393941253296</v>
      </c>
      <c r="E337">
        <v>1</v>
      </c>
    </row>
    <row r="338" spans="1:5" x14ac:dyDescent="0.2">
      <c r="A338">
        <f t="shared" si="5"/>
        <v>336</v>
      </c>
      <c r="B338">
        <v>1</v>
      </c>
      <c r="C338">
        <v>8.6372432368955601E-2</v>
      </c>
      <c r="D338">
        <v>0.91362756763104402</v>
      </c>
      <c r="E338">
        <v>1</v>
      </c>
    </row>
    <row r="339" spans="1:5" x14ac:dyDescent="0.2">
      <c r="A339">
        <f t="shared" si="5"/>
        <v>337</v>
      </c>
      <c r="B339">
        <v>1</v>
      </c>
      <c r="C339">
        <v>0.26495177030531097</v>
      </c>
      <c r="D339">
        <v>0.73504822969468797</v>
      </c>
      <c r="E339">
        <v>1</v>
      </c>
    </row>
    <row r="340" spans="1:5" x14ac:dyDescent="0.2">
      <c r="A340">
        <f t="shared" si="5"/>
        <v>338</v>
      </c>
      <c r="B340">
        <v>1</v>
      </c>
      <c r="C340">
        <v>0.30075960170344601</v>
      </c>
      <c r="D340">
        <v>0.69924039829655305</v>
      </c>
      <c r="E340">
        <v>1</v>
      </c>
    </row>
    <row r="341" spans="1:5" x14ac:dyDescent="0.2">
      <c r="A341">
        <f t="shared" si="5"/>
        <v>339</v>
      </c>
      <c r="B341">
        <v>1</v>
      </c>
      <c r="C341">
        <v>0.42802902753623201</v>
      </c>
      <c r="D341">
        <v>0.57197097246376705</v>
      </c>
      <c r="E341">
        <v>1</v>
      </c>
    </row>
    <row r="342" spans="1:5" x14ac:dyDescent="0.2">
      <c r="A342">
        <f t="shared" si="5"/>
        <v>340</v>
      </c>
      <c r="B342">
        <v>1</v>
      </c>
      <c r="C342">
        <v>0.101896343794128</v>
      </c>
      <c r="D342">
        <v>0.89810365620587096</v>
      </c>
      <c r="E342">
        <v>1</v>
      </c>
    </row>
    <row r="343" spans="1:5" x14ac:dyDescent="0.2">
      <c r="A343">
        <f t="shared" si="5"/>
        <v>341</v>
      </c>
      <c r="B343">
        <v>0</v>
      </c>
      <c r="C343">
        <v>0.80794744749740299</v>
      </c>
      <c r="D343">
        <v>0.19205255250259601</v>
      </c>
      <c r="E343">
        <v>0</v>
      </c>
    </row>
    <row r="344" spans="1:5" x14ac:dyDescent="0.2">
      <c r="A344">
        <f t="shared" si="5"/>
        <v>342</v>
      </c>
      <c r="B344">
        <v>0</v>
      </c>
      <c r="C344">
        <v>0.45837929244292203</v>
      </c>
      <c r="D344">
        <v>0.54162070755707703</v>
      </c>
      <c r="E344">
        <v>1</v>
      </c>
    </row>
    <row r="345" spans="1:5" x14ac:dyDescent="0.2">
      <c r="A345">
        <f t="shared" si="5"/>
        <v>343</v>
      </c>
      <c r="B345">
        <v>1</v>
      </c>
      <c r="C345">
        <v>0.464936477228028</v>
      </c>
      <c r="D345">
        <v>0.535063522771971</v>
      </c>
      <c r="E345">
        <v>1</v>
      </c>
    </row>
    <row r="346" spans="1:5" x14ac:dyDescent="0.2">
      <c r="A346">
        <f t="shared" si="5"/>
        <v>344</v>
      </c>
      <c r="B346">
        <v>0</v>
      </c>
      <c r="C346">
        <v>0.69665244823072903</v>
      </c>
      <c r="D346">
        <v>0.30334755176926997</v>
      </c>
      <c r="E346">
        <v>0</v>
      </c>
    </row>
    <row r="347" spans="1:5" x14ac:dyDescent="0.2">
      <c r="A347">
        <f t="shared" si="5"/>
        <v>345</v>
      </c>
      <c r="B347">
        <v>1</v>
      </c>
      <c r="C347">
        <v>0.16639470142360299</v>
      </c>
      <c r="D347">
        <v>0.83360529857639598</v>
      </c>
      <c r="E347">
        <v>1</v>
      </c>
    </row>
    <row r="348" spans="1:5" x14ac:dyDescent="0.2">
      <c r="A348">
        <f t="shared" si="5"/>
        <v>346</v>
      </c>
      <c r="B348">
        <v>1</v>
      </c>
      <c r="C348">
        <v>0.30150861058802098</v>
      </c>
      <c r="D348">
        <v>0.69849138941197897</v>
      </c>
      <c r="E348">
        <v>1</v>
      </c>
    </row>
    <row r="349" spans="1:5" x14ac:dyDescent="0.2">
      <c r="A349">
        <f t="shared" si="5"/>
        <v>347</v>
      </c>
      <c r="B349">
        <v>0</v>
      </c>
      <c r="C349">
        <v>0.549494286802094</v>
      </c>
      <c r="D349">
        <v>0.450505713197905</v>
      </c>
      <c r="E349">
        <v>0</v>
      </c>
    </row>
    <row r="350" spans="1:5" x14ac:dyDescent="0.2">
      <c r="A350">
        <f t="shared" si="5"/>
        <v>348</v>
      </c>
      <c r="B350">
        <v>1</v>
      </c>
      <c r="C350">
        <v>0.30046113046397699</v>
      </c>
      <c r="D350">
        <v>0.69953886953602196</v>
      </c>
      <c r="E350">
        <v>1</v>
      </c>
    </row>
    <row r="351" spans="1:5" x14ac:dyDescent="0.2">
      <c r="A351">
        <f t="shared" si="5"/>
        <v>349</v>
      </c>
      <c r="B351">
        <v>1</v>
      </c>
      <c r="C351">
        <v>0.21418280292561201</v>
      </c>
      <c r="D351">
        <v>0.78581719707438702</v>
      </c>
      <c r="E351">
        <v>1</v>
      </c>
    </row>
    <row r="352" spans="1:5" x14ac:dyDescent="0.2">
      <c r="A352">
        <f t="shared" si="5"/>
        <v>350</v>
      </c>
      <c r="B352">
        <v>1</v>
      </c>
      <c r="C352">
        <v>0.43237789482669697</v>
      </c>
      <c r="D352">
        <v>0.56762210517330203</v>
      </c>
      <c r="E352">
        <v>1</v>
      </c>
    </row>
    <row r="353" spans="1:5" x14ac:dyDescent="0.2">
      <c r="A353">
        <f t="shared" si="5"/>
        <v>351</v>
      </c>
      <c r="B353">
        <v>1</v>
      </c>
      <c r="C353">
        <v>0.17484992424090801</v>
      </c>
      <c r="D353">
        <v>0.82515007575909105</v>
      </c>
      <c r="E353">
        <v>1</v>
      </c>
    </row>
    <row r="354" spans="1:5" x14ac:dyDescent="0.2">
      <c r="A354">
        <f t="shared" si="5"/>
        <v>352</v>
      </c>
      <c r="B354">
        <v>1</v>
      </c>
      <c r="C354">
        <v>6.8460558867534105E-2</v>
      </c>
      <c r="D354">
        <v>0.93153944113246501</v>
      </c>
      <c r="E354">
        <v>1</v>
      </c>
    </row>
    <row r="355" spans="1:5" x14ac:dyDescent="0.2">
      <c r="A355">
        <f t="shared" si="5"/>
        <v>353</v>
      </c>
      <c r="B355">
        <v>0</v>
      </c>
      <c r="C355">
        <v>0.162758664718509</v>
      </c>
      <c r="D355">
        <v>0.83724133528149003</v>
      </c>
      <c r="E355">
        <v>1</v>
      </c>
    </row>
    <row r="356" spans="1:5" x14ac:dyDescent="0.2">
      <c r="A356">
        <f t="shared" si="5"/>
        <v>354</v>
      </c>
      <c r="B356">
        <v>1</v>
      </c>
      <c r="C356">
        <v>7.6682959601266004E-2</v>
      </c>
      <c r="D356">
        <v>0.92331704039873397</v>
      </c>
      <c r="E356">
        <v>1</v>
      </c>
    </row>
    <row r="357" spans="1:5" x14ac:dyDescent="0.2">
      <c r="A357">
        <f t="shared" si="5"/>
        <v>355</v>
      </c>
      <c r="B357">
        <v>0</v>
      </c>
      <c r="C357">
        <v>0.51089785586324499</v>
      </c>
      <c r="D357">
        <v>0.48910214413675401</v>
      </c>
      <c r="E357">
        <v>0</v>
      </c>
    </row>
    <row r="358" spans="1:5" x14ac:dyDescent="0.2">
      <c r="A358">
        <f t="shared" si="5"/>
        <v>356</v>
      </c>
      <c r="B358">
        <v>1</v>
      </c>
      <c r="C358">
        <v>0.76663505665523601</v>
      </c>
      <c r="D358">
        <v>0.23336494334476299</v>
      </c>
      <c r="E358">
        <v>0</v>
      </c>
    </row>
    <row r="359" spans="1:5" x14ac:dyDescent="0.2">
      <c r="A359">
        <f t="shared" si="5"/>
        <v>357</v>
      </c>
      <c r="B359">
        <v>1</v>
      </c>
      <c r="C359">
        <v>0.32335959722789098</v>
      </c>
      <c r="D359">
        <v>0.67664040277210802</v>
      </c>
      <c r="E359">
        <v>1</v>
      </c>
    </row>
    <row r="360" spans="1:5" x14ac:dyDescent="0.2">
      <c r="A360">
        <f t="shared" si="5"/>
        <v>358</v>
      </c>
      <c r="B360">
        <v>1</v>
      </c>
      <c r="C360">
        <v>0.25445357710754901</v>
      </c>
      <c r="D360">
        <v>0.74554642289244999</v>
      </c>
      <c r="E360">
        <v>1</v>
      </c>
    </row>
    <row r="361" spans="1:5" x14ac:dyDescent="0.2">
      <c r="A361">
        <f t="shared" si="5"/>
        <v>359</v>
      </c>
      <c r="B361">
        <v>0</v>
      </c>
      <c r="C361">
        <v>0.31730943432734798</v>
      </c>
      <c r="D361">
        <v>0.68269056567265196</v>
      </c>
      <c r="E361">
        <v>1</v>
      </c>
    </row>
    <row r="362" spans="1:5" x14ac:dyDescent="0.2">
      <c r="A362">
        <f t="shared" si="5"/>
        <v>360</v>
      </c>
      <c r="B362">
        <v>1</v>
      </c>
      <c r="C362">
        <v>0.47309116483942099</v>
      </c>
      <c r="D362">
        <v>0.52690883516057796</v>
      </c>
      <c r="E362">
        <v>1</v>
      </c>
    </row>
    <row r="363" spans="1:5" x14ac:dyDescent="0.2">
      <c r="A363">
        <f t="shared" si="5"/>
        <v>361</v>
      </c>
      <c r="B363">
        <v>1</v>
      </c>
      <c r="C363">
        <v>0.41009599632030103</v>
      </c>
      <c r="D363">
        <v>0.58990400367969797</v>
      </c>
      <c r="E363">
        <v>1</v>
      </c>
    </row>
    <row r="364" spans="1:5" x14ac:dyDescent="0.2">
      <c r="A364">
        <f t="shared" si="5"/>
        <v>362</v>
      </c>
      <c r="B364">
        <v>1</v>
      </c>
      <c r="C364">
        <v>0.21564774482812299</v>
      </c>
      <c r="D364">
        <v>0.78435225517187601</v>
      </c>
      <c r="E364">
        <v>1</v>
      </c>
    </row>
    <row r="365" spans="1:5" x14ac:dyDescent="0.2">
      <c r="A365">
        <f t="shared" si="5"/>
        <v>363</v>
      </c>
      <c r="B365">
        <v>0</v>
      </c>
      <c r="C365">
        <v>0.51524994677824398</v>
      </c>
      <c r="D365">
        <v>0.48475005322175502</v>
      </c>
      <c r="E365">
        <v>0</v>
      </c>
    </row>
    <row r="366" spans="1:5" x14ac:dyDescent="0.2">
      <c r="A366">
        <f t="shared" si="5"/>
        <v>364</v>
      </c>
      <c r="B366">
        <v>1</v>
      </c>
      <c r="C366">
        <v>0.14317247958892301</v>
      </c>
      <c r="D366">
        <v>0.85682752041107602</v>
      </c>
      <c r="E366">
        <v>1</v>
      </c>
    </row>
    <row r="367" spans="1:5" x14ac:dyDescent="0.2">
      <c r="A367">
        <f t="shared" si="5"/>
        <v>365</v>
      </c>
      <c r="B367">
        <v>0</v>
      </c>
      <c r="C367">
        <v>0.59699831635998601</v>
      </c>
      <c r="D367">
        <v>0.40300168364001299</v>
      </c>
      <c r="E367">
        <v>0</v>
      </c>
    </row>
    <row r="368" spans="1:5" x14ac:dyDescent="0.2">
      <c r="A368">
        <f t="shared" si="5"/>
        <v>366</v>
      </c>
      <c r="B368">
        <v>0</v>
      </c>
      <c r="C368">
        <v>0.34966680554516899</v>
      </c>
      <c r="D368">
        <v>0.65033319445482995</v>
      </c>
      <c r="E368">
        <v>1</v>
      </c>
    </row>
    <row r="369" spans="1:5" x14ac:dyDescent="0.2">
      <c r="A369">
        <f t="shared" si="5"/>
        <v>367</v>
      </c>
      <c r="B369">
        <v>1</v>
      </c>
      <c r="C369">
        <v>0.12787577977477699</v>
      </c>
      <c r="D369">
        <v>0.87212422022522196</v>
      </c>
      <c r="E369">
        <v>1</v>
      </c>
    </row>
    <row r="370" spans="1:5" x14ac:dyDescent="0.2">
      <c r="A370">
        <f t="shared" si="5"/>
        <v>368</v>
      </c>
      <c r="B370">
        <v>0</v>
      </c>
      <c r="C370">
        <v>0.72274873403993301</v>
      </c>
      <c r="D370">
        <v>0.277251265960066</v>
      </c>
      <c r="E370">
        <v>0</v>
      </c>
    </row>
    <row r="371" spans="1:5" x14ac:dyDescent="0.2">
      <c r="A371">
        <f t="shared" si="5"/>
        <v>369</v>
      </c>
      <c r="B371">
        <v>1</v>
      </c>
      <c r="C371">
        <v>0.18485029987608001</v>
      </c>
      <c r="D371">
        <v>0.81514970012391896</v>
      </c>
      <c r="E371">
        <v>1</v>
      </c>
    </row>
    <row r="372" spans="1:5" x14ac:dyDescent="0.2">
      <c r="A372">
        <f t="shared" si="5"/>
        <v>370</v>
      </c>
      <c r="B372">
        <v>1</v>
      </c>
      <c r="C372">
        <v>0.38412705961094001</v>
      </c>
      <c r="D372">
        <v>0.61587294038905904</v>
      </c>
      <c r="E372">
        <v>1</v>
      </c>
    </row>
    <row r="373" spans="1:5" x14ac:dyDescent="0.2">
      <c r="A373">
        <f t="shared" si="5"/>
        <v>371</v>
      </c>
      <c r="B373">
        <v>1</v>
      </c>
      <c r="C373">
        <v>8.1077552855233104E-2</v>
      </c>
      <c r="D373">
        <v>0.91892244714476601</v>
      </c>
      <c r="E373">
        <v>1</v>
      </c>
    </row>
    <row r="374" spans="1:5" x14ac:dyDescent="0.2">
      <c r="A374">
        <f t="shared" si="5"/>
        <v>372</v>
      </c>
      <c r="B374">
        <v>0</v>
      </c>
      <c r="C374">
        <v>9.4369067031179907E-2</v>
      </c>
      <c r="D374">
        <v>0.90563093296882002</v>
      </c>
      <c r="E374">
        <v>1</v>
      </c>
    </row>
    <row r="375" spans="1:5" x14ac:dyDescent="0.2">
      <c r="A375">
        <f t="shared" si="5"/>
        <v>373</v>
      </c>
      <c r="B375">
        <v>1</v>
      </c>
      <c r="C375">
        <v>0.309704324365073</v>
      </c>
      <c r="D375">
        <v>0.690295675634926</v>
      </c>
      <c r="E375">
        <v>1</v>
      </c>
    </row>
    <row r="376" spans="1:5" x14ac:dyDescent="0.2">
      <c r="A376">
        <f t="shared" si="5"/>
        <v>374</v>
      </c>
      <c r="B376">
        <v>0</v>
      </c>
      <c r="C376">
        <v>0.69788228181596701</v>
      </c>
      <c r="D376">
        <v>0.30211771818403199</v>
      </c>
      <c r="E376">
        <v>0</v>
      </c>
    </row>
    <row r="377" spans="1:5" x14ac:dyDescent="0.2">
      <c r="A377">
        <f t="shared" si="5"/>
        <v>375</v>
      </c>
      <c r="B377">
        <v>1</v>
      </c>
      <c r="C377">
        <v>0.29769343888509098</v>
      </c>
      <c r="D377">
        <v>0.70230656111490797</v>
      </c>
      <c r="E377">
        <v>1</v>
      </c>
    </row>
    <row r="378" spans="1:5" x14ac:dyDescent="0.2">
      <c r="A378">
        <f t="shared" si="5"/>
        <v>376</v>
      </c>
      <c r="B378">
        <v>1</v>
      </c>
      <c r="C378">
        <v>0.50713081304568297</v>
      </c>
      <c r="D378">
        <v>0.49286918695431597</v>
      </c>
      <c r="E378">
        <v>0</v>
      </c>
    </row>
    <row r="379" spans="1:5" x14ac:dyDescent="0.2">
      <c r="A379">
        <f t="shared" si="5"/>
        <v>377</v>
      </c>
      <c r="B379">
        <v>1</v>
      </c>
      <c r="C379">
        <v>4.6779713268150502E-2</v>
      </c>
      <c r="D379">
        <v>0.953220286731849</v>
      </c>
      <c r="E379">
        <v>1</v>
      </c>
    </row>
    <row r="380" spans="1:5" x14ac:dyDescent="0.2">
      <c r="A380">
        <f t="shared" si="5"/>
        <v>378</v>
      </c>
      <c r="B380">
        <v>1</v>
      </c>
      <c r="C380">
        <v>0.25941096366542399</v>
      </c>
      <c r="D380">
        <v>0.74058903633457496</v>
      </c>
      <c r="E380">
        <v>1</v>
      </c>
    </row>
    <row r="381" spans="1:5" x14ac:dyDescent="0.2">
      <c r="A381">
        <f t="shared" si="5"/>
        <v>379</v>
      </c>
      <c r="B381">
        <v>1</v>
      </c>
      <c r="C381">
        <v>8.4025489097265205E-2</v>
      </c>
      <c r="D381">
        <v>0.91597451090273396</v>
      </c>
      <c r="E381">
        <v>1</v>
      </c>
    </row>
    <row r="382" spans="1:5" x14ac:dyDescent="0.2">
      <c r="A382">
        <f t="shared" si="5"/>
        <v>380</v>
      </c>
      <c r="B382">
        <v>1</v>
      </c>
      <c r="C382">
        <v>0.221651020308201</v>
      </c>
      <c r="D382">
        <v>0.77834897969179895</v>
      </c>
      <c r="E382">
        <v>1</v>
      </c>
    </row>
    <row r="383" spans="1:5" x14ac:dyDescent="0.2">
      <c r="A383">
        <f t="shared" si="5"/>
        <v>381</v>
      </c>
      <c r="B383">
        <v>1</v>
      </c>
      <c r="C383">
        <v>0.360801501137202</v>
      </c>
      <c r="D383">
        <v>0.639198498862797</v>
      </c>
      <c r="E383">
        <v>1</v>
      </c>
    </row>
    <row r="384" spans="1:5" x14ac:dyDescent="0.2">
      <c r="A384">
        <f t="shared" si="5"/>
        <v>382</v>
      </c>
      <c r="B384">
        <v>1</v>
      </c>
      <c r="C384">
        <v>0.31942966400284201</v>
      </c>
      <c r="D384">
        <v>0.68057033599715799</v>
      </c>
      <c r="E384">
        <v>1</v>
      </c>
    </row>
    <row r="385" spans="1:5" x14ac:dyDescent="0.2">
      <c r="A385">
        <f t="shared" si="5"/>
        <v>383</v>
      </c>
      <c r="B385">
        <v>0</v>
      </c>
      <c r="C385">
        <v>0.36242433927902501</v>
      </c>
      <c r="D385">
        <v>0.63757566072097405</v>
      </c>
      <c r="E385">
        <v>1</v>
      </c>
    </row>
    <row r="386" spans="1:5" x14ac:dyDescent="0.2">
      <c r="A386">
        <f t="shared" si="5"/>
        <v>384</v>
      </c>
      <c r="B386">
        <v>0</v>
      </c>
      <c r="C386">
        <v>0.82503400713532005</v>
      </c>
      <c r="D386">
        <v>0.17496599286467901</v>
      </c>
      <c r="E386">
        <v>0</v>
      </c>
    </row>
    <row r="387" spans="1:5" x14ac:dyDescent="0.2">
      <c r="A387">
        <f t="shared" si="5"/>
        <v>385</v>
      </c>
      <c r="B387">
        <v>1</v>
      </c>
      <c r="C387">
        <v>0.52552482761053498</v>
      </c>
      <c r="D387">
        <v>0.47447517238946402</v>
      </c>
      <c r="E387">
        <v>0</v>
      </c>
    </row>
    <row r="388" spans="1:5" x14ac:dyDescent="0.2">
      <c r="A388">
        <f t="shared" ref="A388:A401" si="6">A387+1</f>
        <v>386</v>
      </c>
      <c r="B388">
        <v>0</v>
      </c>
      <c r="C388">
        <v>0.39290176906390001</v>
      </c>
      <c r="D388">
        <v>0.60709823093609905</v>
      </c>
      <c r="E388">
        <v>1</v>
      </c>
    </row>
    <row r="389" spans="1:5" x14ac:dyDescent="0.2">
      <c r="A389">
        <f t="shared" si="6"/>
        <v>387</v>
      </c>
      <c r="B389">
        <v>0</v>
      </c>
      <c r="C389">
        <v>0.42061007803986</v>
      </c>
      <c r="D389">
        <v>0.57938992196013905</v>
      </c>
      <c r="E389">
        <v>1</v>
      </c>
    </row>
    <row r="390" spans="1:5" x14ac:dyDescent="0.2">
      <c r="A390">
        <f t="shared" si="6"/>
        <v>388</v>
      </c>
      <c r="B390">
        <v>1</v>
      </c>
      <c r="C390">
        <v>0.134462758336855</v>
      </c>
      <c r="D390">
        <v>0.86553724166314405</v>
      </c>
      <c r="E390">
        <v>1</v>
      </c>
    </row>
    <row r="391" spans="1:5" x14ac:dyDescent="0.2">
      <c r="A391">
        <f t="shared" si="6"/>
        <v>389</v>
      </c>
      <c r="B391">
        <v>0</v>
      </c>
      <c r="C391">
        <v>0.62624388458754698</v>
      </c>
      <c r="D391">
        <v>0.37375611541245202</v>
      </c>
      <c r="E391">
        <v>0</v>
      </c>
    </row>
    <row r="392" spans="1:5" x14ac:dyDescent="0.2">
      <c r="A392">
        <f t="shared" si="6"/>
        <v>390</v>
      </c>
      <c r="B392">
        <v>1</v>
      </c>
      <c r="C392">
        <v>0.44999501854929402</v>
      </c>
      <c r="D392">
        <v>0.55000498145070598</v>
      </c>
      <c r="E392">
        <v>1</v>
      </c>
    </row>
    <row r="393" spans="1:5" x14ac:dyDescent="0.2">
      <c r="A393">
        <f t="shared" si="6"/>
        <v>391</v>
      </c>
      <c r="B393">
        <v>0</v>
      </c>
      <c r="C393">
        <v>0.213201578455189</v>
      </c>
      <c r="D393">
        <v>0.78679842154480994</v>
      </c>
      <c r="E393">
        <v>1</v>
      </c>
    </row>
    <row r="394" spans="1:5" x14ac:dyDescent="0.2">
      <c r="A394">
        <f t="shared" si="6"/>
        <v>392</v>
      </c>
      <c r="B394">
        <v>1</v>
      </c>
      <c r="C394">
        <v>0.108165510067983</v>
      </c>
      <c r="D394">
        <v>0.89183448993201597</v>
      </c>
      <c r="E394">
        <v>1</v>
      </c>
    </row>
    <row r="395" spans="1:5" x14ac:dyDescent="0.2">
      <c r="A395">
        <f t="shared" si="6"/>
        <v>393</v>
      </c>
      <c r="B395">
        <v>1</v>
      </c>
      <c r="C395">
        <v>0.196165976432077</v>
      </c>
      <c r="D395">
        <v>0.803834023567922</v>
      </c>
      <c r="E395">
        <v>1</v>
      </c>
    </row>
    <row r="396" spans="1:5" x14ac:dyDescent="0.2">
      <c r="A396">
        <f t="shared" si="6"/>
        <v>394</v>
      </c>
      <c r="B396">
        <v>1</v>
      </c>
      <c r="C396">
        <v>0.135367077456225</v>
      </c>
      <c r="D396">
        <v>0.864632922543774</v>
      </c>
      <c r="E396">
        <v>1</v>
      </c>
    </row>
    <row r="397" spans="1:5" x14ac:dyDescent="0.2">
      <c r="A397">
        <f t="shared" si="6"/>
        <v>395</v>
      </c>
      <c r="B397">
        <v>1</v>
      </c>
      <c r="C397">
        <v>0.28951606104317201</v>
      </c>
      <c r="D397">
        <v>0.71048393895682704</v>
      </c>
      <c r="E397">
        <v>1</v>
      </c>
    </row>
    <row r="398" spans="1:5" x14ac:dyDescent="0.2">
      <c r="A398">
        <f t="shared" si="6"/>
        <v>396</v>
      </c>
      <c r="B398">
        <v>0</v>
      </c>
      <c r="C398">
        <v>0.113932462611348</v>
      </c>
      <c r="D398">
        <v>0.88606753738865096</v>
      </c>
      <c r="E398">
        <v>1</v>
      </c>
    </row>
    <row r="399" spans="1:5" x14ac:dyDescent="0.2">
      <c r="A399">
        <f t="shared" si="6"/>
        <v>397</v>
      </c>
      <c r="B399">
        <v>0</v>
      </c>
      <c r="C399">
        <v>0.46133435036995002</v>
      </c>
      <c r="D399">
        <v>0.53866564963004904</v>
      </c>
      <c r="E399">
        <v>1</v>
      </c>
    </row>
    <row r="400" spans="1:5" x14ac:dyDescent="0.2">
      <c r="A400">
        <f t="shared" si="6"/>
        <v>398</v>
      </c>
      <c r="B400">
        <v>1</v>
      </c>
      <c r="C400">
        <v>0.18539601473359399</v>
      </c>
      <c r="D400">
        <v>0.81460398526640498</v>
      </c>
      <c r="E400">
        <v>1</v>
      </c>
    </row>
    <row r="401" spans="1:5" x14ac:dyDescent="0.2">
      <c r="A401">
        <f t="shared" si="6"/>
        <v>399</v>
      </c>
      <c r="B401">
        <v>0</v>
      </c>
      <c r="C401">
        <v>0.61225365250215802</v>
      </c>
      <c r="D401">
        <v>0.38774634749784098</v>
      </c>
      <c r="E4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AB79F-0D4E-3442-89AE-0F2C22D8D512}">
  <dimension ref="A1:K401"/>
  <sheetViews>
    <sheetView zoomScale="108" workbookViewId="0">
      <selection activeCell="E13" sqref="E13"/>
    </sheetView>
  </sheetViews>
  <sheetFormatPr baseColWidth="10" defaultRowHeight="16" x14ac:dyDescent="0.2"/>
  <cols>
    <col min="2" max="2" width="17.6640625" customWidth="1"/>
    <col min="3" max="4" width="20.5" style="2" customWidth="1"/>
    <col min="5" max="5" width="22.33203125" customWidth="1"/>
    <col min="6" max="6" width="14.6640625" style="7" customWidth="1"/>
    <col min="7" max="7" width="21.33203125" customWidth="1"/>
    <col min="8" max="8" width="15" customWidth="1"/>
    <col min="9" max="9" width="20.1640625" customWidth="1"/>
  </cols>
  <sheetData>
    <row r="1" spans="1:11" x14ac:dyDescent="0.2">
      <c r="A1" s="1" t="s">
        <v>2</v>
      </c>
      <c r="B1" s="1" t="s">
        <v>9</v>
      </c>
      <c r="C1" s="1" t="s">
        <v>3</v>
      </c>
      <c r="D1" s="1" t="s">
        <v>6</v>
      </c>
      <c r="E1" s="1" t="s">
        <v>10</v>
      </c>
      <c r="F1" s="6" t="s">
        <v>19</v>
      </c>
      <c r="G1" s="1" t="s">
        <v>5</v>
      </c>
      <c r="J1" t="s">
        <v>5</v>
      </c>
      <c r="K1" t="s">
        <v>6</v>
      </c>
    </row>
    <row r="2" spans="1:11" x14ac:dyDescent="0.2">
      <c r="A2">
        <v>377</v>
      </c>
      <c r="B2">
        <v>1</v>
      </c>
      <c r="C2" s="2">
        <v>4.6779713268150502E-2</v>
      </c>
      <c r="D2" s="2">
        <v>0.953220286731849</v>
      </c>
      <c r="E2">
        <v>1</v>
      </c>
      <c r="F2" s="7">
        <f>IF(AND(Table1[[#This Row],[Predicted Outcome]]=1,Table1[[#This Row],[Actual Outcome]]=1),1,0)</f>
        <v>1</v>
      </c>
      <c r="G2" cm="1">
        <f t="array" ref="G2">_xlfn.XLOOKUP(MAX(IF(Table2[Probability_Default]&lt;Table1[[#This Row],[Probability_Default]],Table2[Probability_Default])),Table2[Probability_Default],Table2[Decile],0)</f>
        <v>9</v>
      </c>
      <c r="J2">
        <v>9</v>
      </c>
      <c r="K2" s="2">
        <f>_xlfn.PERCENTILE.INC(Table1[Probability_Default],0.9)</f>
        <v>0.8864812915101199</v>
      </c>
    </row>
    <row r="3" spans="1:11" x14ac:dyDescent="0.2">
      <c r="A3">
        <v>189</v>
      </c>
      <c r="B3">
        <v>1</v>
      </c>
      <c r="C3" s="2">
        <v>4.6918077701862099E-2</v>
      </c>
      <c r="D3" s="2">
        <v>0.95308192229813704</v>
      </c>
      <c r="E3">
        <v>1</v>
      </c>
      <c r="F3" s="7">
        <f>IF(AND(Table1[[#This Row],[Predicted Outcome]]=1,Table1[[#This Row],[Actual Outcome]]=1),1,0)</f>
        <v>1</v>
      </c>
      <c r="G3" cm="1">
        <f t="array" ref="G3">_xlfn.XLOOKUP(MAX(IF(Table2[Probability_Default]&lt;Table1[[#This Row],[Probability_Default]],Table2[Probability_Default])),Table2[Probability_Default],Table2[Decile],0)</f>
        <v>9</v>
      </c>
      <c r="J3">
        <v>8</v>
      </c>
      <c r="K3" s="2">
        <f>_xlfn.PERCENTILE.INC(Table1[Probability_Default],0.8)</f>
        <v>0.84546756685262348</v>
      </c>
    </row>
    <row r="4" spans="1:11" x14ac:dyDescent="0.2">
      <c r="A4">
        <v>44</v>
      </c>
      <c r="B4">
        <v>1</v>
      </c>
      <c r="C4" s="2">
        <v>5.5949471568144303E-2</v>
      </c>
      <c r="D4" s="2">
        <v>0.944050528431855</v>
      </c>
      <c r="E4">
        <v>1</v>
      </c>
      <c r="F4" s="7">
        <f>IF(AND(Table1[[#This Row],[Predicted Outcome]]=1,Table1[[#This Row],[Actual Outcome]]=1),1,0)</f>
        <v>1</v>
      </c>
      <c r="G4" cm="1">
        <f t="array" ref="G4">_xlfn.XLOOKUP(MAX(IF(Table2[Probability_Default]&lt;Table1[[#This Row],[Probability_Default]],Table2[Probability_Default])),Table2[Probability_Default],Table2[Decile],0)</f>
        <v>9</v>
      </c>
      <c r="J4">
        <v>7</v>
      </c>
      <c r="K4" s="2">
        <f>_xlfn.PERCENTILE.INC(Table1[Probability_Default],0.7)</f>
        <v>0.7891345296822404</v>
      </c>
    </row>
    <row r="5" spans="1:11" x14ac:dyDescent="0.2">
      <c r="A5">
        <v>245</v>
      </c>
      <c r="B5">
        <v>1</v>
      </c>
      <c r="C5" s="2">
        <v>5.7445627964969201E-2</v>
      </c>
      <c r="D5" s="2">
        <v>0.94255437203503001</v>
      </c>
      <c r="E5">
        <v>1</v>
      </c>
      <c r="F5" s="7">
        <f>IF(AND(Table1[[#This Row],[Predicted Outcome]]=1,Table1[[#This Row],[Actual Outcome]]=1),1,0)</f>
        <v>1</v>
      </c>
      <c r="G5" cm="1">
        <f t="array" ref="G5">_xlfn.XLOOKUP(MAX(IF(Table2[Probability_Default]&lt;Table1[[#This Row],[Probability_Default]],Table2[Probability_Default])),Table2[Probability_Default],Table2[Decile],0)</f>
        <v>9</v>
      </c>
      <c r="J5">
        <v>6</v>
      </c>
      <c r="K5" s="2">
        <f>_xlfn.PERCENTILE.INC(Table1[Probability_Default],0.6)</f>
        <v>0.73583650679677703</v>
      </c>
    </row>
    <row r="6" spans="1:11" x14ac:dyDescent="0.2">
      <c r="A6">
        <v>286</v>
      </c>
      <c r="B6">
        <v>1</v>
      </c>
      <c r="C6" s="2">
        <v>6.0548217203128397E-2</v>
      </c>
      <c r="D6" s="2">
        <v>0.93945178279687103</v>
      </c>
      <c r="E6">
        <v>1</v>
      </c>
      <c r="F6" s="7">
        <f>IF(AND(Table1[[#This Row],[Predicted Outcome]]=1,Table1[[#This Row],[Actual Outcome]]=1),1,0)</f>
        <v>1</v>
      </c>
      <c r="G6" cm="1">
        <f t="array" ref="G6">_xlfn.XLOOKUP(MAX(IF(Table2[Probability_Default]&lt;Table1[[#This Row],[Probability_Default]],Table2[Probability_Default])),Table2[Probability_Default],Table2[Decile],0)</f>
        <v>9</v>
      </c>
      <c r="J6">
        <v>5</v>
      </c>
      <c r="K6" s="2">
        <f>_xlfn.PERCENTILE.INC(Table1[Probability_Default],0.5)</f>
        <v>0.68748016128884859</v>
      </c>
    </row>
    <row r="7" spans="1:11" x14ac:dyDescent="0.2">
      <c r="A7">
        <v>114</v>
      </c>
      <c r="B7">
        <v>1</v>
      </c>
      <c r="C7" s="2">
        <v>6.4694371178253898E-2</v>
      </c>
      <c r="D7" s="2">
        <v>0.93530562882174595</v>
      </c>
      <c r="E7">
        <v>1</v>
      </c>
      <c r="F7" s="7">
        <f>IF(AND(Table1[[#This Row],[Predicted Outcome]]=1,Table1[[#This Row],[Actual Outcome]]=1),1,0)</f>
        <v>1</v>
      </c>
      <c r="G7" cm="1">
        <f t="array" ref="G7">_xlfn.XLOOKUP(MAX(IF(Table2[Probability_Default]&lt;Table1[[#This Row],[Probability_Default]],Table2[Probability_Default])),Table2[Probability_Default],Table2[Decile],0)</f>
        <v>9</v>
      </c>
      <c r="J7">
        <v>4</v>
      </c>
      <c r="K7" s="2">
        <f>_xlfn.PERCENTILE.INC(Table1[Probability_Default],0.4)</f>
        <v>0.63646630229190615</v>
      </c>
    </row>
    <row r="8" spans="1:11" x14ac:dyDescent="0.2">
      <c r="A8">
        <v>145</v>
      </c>
      <c r="B8">
        <v>1</v>
      </c>
      <c r="C8" s="2">
        <v>6.5322544728043996E-2</v>
      </c>
      <c r="D8" s="2">
        <v>0.934677455271956</v>
      </c>
      <c r="E8">
        <v>1</v>
      </c>
      <c r="F8" s="7">
        <f>IF(AND(Table1[[#This Row],[Predicted Outcome]]=1,Table1[[#This Row],[Actual Outcome]]=1),1,0)</f>
        <v>1</v>
      </c>
      <c r="G8" cm="1">
        <f t="array" ref="G8">_xlfn.XLOOKUP(MAX(IF(Table2[Probability_Default]&lt;Table1[[#This Row],[Probability_Default]],Table2[Probability_Default])),Table2[Probability_Default],Table2[Decile],0)</f>
        <v>9</v>
      </c>
      <c r="J8">
        <v>3</v>
      </c>
      <c r="K8" s="2">
        <f>_xlfn.PERCENTILE.INC(Table1[Probability_Default],0.3)</f>
        <v>0.56410610859426069</v>
      </c>
    </row>
    <row r="9" spans="1:11" x14ac:dyDescent="0.2">
      <c r="A9">
        <v>309</v>
      </c>
      <c r="B9">
        <v>1</v>
      </c>
      <c r="C9" s="2">
        <v>6.5327856328408596E-2</v>
      </c>
      <c r="D9" s="2">
        <v>0.93467214367159102</v>
      </c>
      <c r="E9">
        <v>1</v>
      </c>
      <c r="F9" s="7">
        <f>IF(AND(Table1[[#This Row],[Predicted Outcome]]=1,Table1[[#This Row],[Actual Outcome]]=1),1,0)</f>
        <v>1</v>
      </c>
      <c r="G9" cm="1">
        <f t="array" ref="G9">_xlfn.XLOOKUP(MAX(IF(Table2[Probability_Default]&lt;Table1[[#This Row],[Probability_Default]],Table2[Probability_Default])),Table2[Probability_Default],Table2[Decile],0)</f>
        <v>9</v>
      </c>
      <c r="J9">
        <v>2</v>
      </c>
      <c r="K9" s="2">
        <f>_xlfn.PERCENTILE.INC(Table1[Probability_Default],0.2)</f>
        <v>0.47556910405834479</v>
      </c>
    </row>
    <row r="10" spans="1:11" x14ac:dyDescent="0.2">
      <c r="A10">
        <v>5</v>
      </c>
      <c r="B10">
        <v>0</v>
      </c>
      <c r="C10" s="2">
        <v>6.6907890345421397E-2</v>
      </c>
      <c r="D10" s="2">
        <v>0.93309210965457801</v>
      </c>
      <c r="E10">
        <v>1</v>
      </c>
      <c r="F10" s="7">
        <f>IF(AND(Table1[[#This Row],[Predicted Outcome]]=1,Table1[[#This Row],[Actual Outcome]]=1),1,0)</f>
        <v>0</v>
      </c>
      <c r="G10" cm="1">
        <f t="array" ref="G10">_xlfn.XLOOKUP(MAX(IF(Table2[Probability_Default]&lt;Table1[[#This Row],[Probability_Default]],Table2[Probability_Default])),Table2[Probability_Default],Table2[Decile],0)</f>
        <v>9</v>
      </c>
      <c r="J10">
        <v>1</v>
      </c>
      <c r="K10" s="2">
        <f>_xlfn.PERCENTILE.INC(Table1[Probability_Default],0.1)</f>
        <v>0.35773754294038862</v>
      </c>
    </row>
    <row r="11" spans="1:11" x14ac:dyDescent="0.2">
      <c r="A11">
        <v>91</v>
      </c>
      <c r="B11">
        <v>0</v>
      </c>
      <c r="C11" s="2">
        <v>6.7753473930911898E-2</v>
      </c>
      <c r="D11" s="2">
        <v>0.93224652606908798</v>
      </c>
      <c r="E11">
        <v>1</v>
      </c>
      <c r="F11" s="7">
        <f>IF(AND(Table1[[#This Row],[Predicted Outcome]]=1,Table1[[#This Row],[Actual Outcome]]=1),1,0)</f>
        <v>0</v>
      </c>
      <c r="G11" cm="1">
        <f t="array" ref="G11">_xlfn.XLOOKUP(MAX(IF(Table2[Probability_Default]&lt;Table1[[#This Row],[Probability_Default]],Table2[Probability_Default])),Table2[Probability_Default],Table2[Decile],0)</f>
        <v>9</v>
      </c>
    </row>
    <row r="12" spans="1:11" x14ac:dyDescent="0.2">
      <c r="A12">
        <v>352</v>
      </c>
      <c r="B12">
        <v>1</v>
      </c>
      <c r="C12" s="2">
        <v>6.8460558867534105E-2</v>
      </c>
      <c r="D12" s="2">
        <v>0.93153944113246501</v>
      </c>
      <c r="E12">
        <v>1</v>
      </c>
      <c r="F12" s="7">
        <f>IF(AND(Table1[[#This Row],[Predicted Outcome]]=1,Table1[[#This Row],[Actual Outcome]]=1),1,0)</f>
        <v>1</v>
      </c>
      <c r="G12" cm="1">
        <f t="array" ref="G12">_xlfn.XLOOKUP(MAX(IF(Table2[Probability_Default]&lt;Table1[[#This Row],[Probability_Default]],Table2[Probability_Default])),Table2[Probability_Default],Table2[Decile],0)</f>
        <v>9</v>
      </c>
    </row>
    <row r="13" spans="1:11" x14ac:dyDescent="0.2">
      <c r="A13">
        <v>276</v>
      </c>
      <c r="B13">
        <v>0</v>
      </c>
      <c r="C13" s="2">
        <v>7.3868210807919998E-2</v>
      </c>
      <c r="D13" s="2">
        <v>0.92613178919207995</v>
      </c>
      <c r="E13">
        <v>1</v>
      </c>
      <c r="F13" s="7">
        <f>IF(AND(Table1[[#This Row],[Predicted Outcome]]=1,Table1[[#This Row],[Actual Outcome]]=1),1,0)</f>
        <v>0</v>
      </c>
      <c r="G13" cm="1">
        <f t="array" ref="G13">_xlfn.XLOOKUP(MAX(IF(Table2[Probability_Default]&lt;Table1[[#This Row],[Probability_Default]],Table2[Probability_Default])),Table2[Probability_Default],Table2[Decile],0)</f>
        <v>9</v>
      </c>
    </row>
    <row r="14" spans="1:11" x14ac:dyDescent="0.2">
      <c r="A14">
        <v>354</v>
      </c>
      <c r="B14">
        <v>1</v>
      </c>
      <c r="C14" s="2">
        <v>7.6682959601266004E-2</v>
      </c>
      <c r="D14" s="2">
        <v>0.92331704039873397</v>
      </c>
      <c r="E14">
        <v>1</v>
      </c>
      <c r="F14" s="7">
        <f>IF(AND(Table1[[#This Row],[Predicted Outcome]]=1,Table1[[#This Row],[Actual Outcome]]=1),1,0)</f>
        <v>1</v>
      </c>
      <c r="G14" cm="1">
        <f t="array" ref="G14">_xlfn.XLOOKUP(MAX(IF(Table2[Probability_Default]&lt;Table1[[#This Row],[Probability_Default]],Table2[Probability_Default])),Table2[Probability_Default],Table2[Decile],0)</f>
        <v>9</v>
      </c>
    </row>
    <row r="15" spans="1:11" x14ac:dyDescent="0.2">
      <c r="A15">
        <v>371</v>
      </c>
      <c r="B15">
        <v>1</v>
      </c>
      <c r="C15" s="2">
        <v>8.1077552855233104E-2</v>
      </c>
      <c r="D15" s="2">
        <v>0.91892244714476601</v>
      </c>
      <c r="E15">
        <v>1</v>
      </c>
      <c r="F15" s="7">
        <f>IF(AND(Table1[[#This Row],[Predicted Outcome]]=1,Table1[[#This Row],[Actual Outcome]]=1),1,0)</f>
        <v>1</v>
      </c>
      <c r="G15" cm="1">
        <f t="array" ref="G15">_xlfn.XLOOKUP(MAX(IF(Table2[Probability_Default]&lt;Table1[[#This Row],[Probability_Default]],Table2[Probability_Default])),Table2[Probability_Default],Table2[Decile],0)</f>
        <v>9</v>
      </c>
    </row>
    <row r="16" spans="1:11" x14ac:dyDescent="0.2">
      <c r="A16">
        <v>379</v>
      </c>
      <c r="B16">
        <v>1</v>
      </c>
      <c r="C16" s="2">
        <v>8.4025489097265205E-2</v>
      </c>
      <c r="D16" s="2">
        <v>0.91597451090273396</v>
      </c>
      <c r="E16">
        <v>1</v>
      </c>
      <c r="F16" s="7">
        <f>IF(AND(Table1[[#This Row],[Predicted Outcome]]=1,Table1[[#This Row],[Actual Outcome]]=1),1,0)</f>
        <v>1</v>
      </c>
      <c r="G16" cm="1">
        <f t="array" ref="G16">_xlfn.XLOOKUP(MAX(IF(Table2[Probability_Default]&lt;Table1[[#This Row],[Probability_Default]],Table2[Probability_Default])),Table2[Probability_Default],Table2[Decile],0)</f>
        <v>9</v>
      </c>
    </row>
    <row r="17" spans="1:9" x14ac:dyDescent="0.2">
      <c r="A17">
        <v>135</v>
      </c>
      <c r="B17">
        <v>1</v>
      </c>
      <c r="C17" s="2">
        <v>8.4544949832619398E-2</v>
      </c>
      <c r="D17" s="2">
        <v>0.91545505016738005</v>
      </c>
      <c r="E17">
        <v>1</v>
      </c>
      <c r="F17" s="7">
        <f>IF(AND(Table1[[#This Row],[Predicted Outcome]]=1,Table1[[#This Row],[Actual Outcome]]=1),1,0)</f>
        <v>1</v>
      </c>
      <c r="G17" cm="1">
        <f t="array" ref="G17">_xlfn.XLOOKUP(MAX(IF(Table2[Probability_Default]&lt;Table1[[#This Row],[Probability_Default]],Table2[Probability_Default])),Table2[Probability_Default],Table2[Decile],0)</f>
        <v>9</v>
      </c>
    </row>
    <row r="18" spans="1:9" x14ac:dyDescent="0.2">
      <c r="A18">
        <v>150</v>
      </c>
      <c r="B18">
        <v>0</v>
      </c>
      <c r="C18" s="2">
        <v>8.4669761835666199E-2</v>
      </c>
      <c r="D18" s="2">
        <v>0.91533023816433301</v>
      </c>
      <c r="E18">
        <v>1</v>
      </c>
      <c r="F18" s="7">
        <f>IF(AND(Table1[[#This Row],[Predicted Outcome]]=1,Table1[[#This Row],[Actual Outcome]]=1),1,0)</f>
        <v>0</v>
      </c>
      <c r="G18" cm="1">
        <f t="array" ref="G18">_xlfn.XLOOKUP(MAX(IF(Table2[Probability_Default]&lt;Table1[[#This Row],[Probability_Default]],Table2[Probability_Default])),Table2[Probability_Default],Table2[Decile],0)</f>
        <v>9</v>
      </c>
    </row>
    <row r="19" spans="1:9" x14ac:dyDescent="0.2">
      <c r="A19">
        <v>58</v>
      </c>
      <c r="B19">
        <v>1</v>
      </c>
      <c r="C19" s="2">
        <v>8.5862274993122004E-2</v>
      </c>
      <c r="D19" s="2">
        <v>0.91413772500687795</v>
      </c>
      <c r="E19">
        <v>1</v>
      </c>
      <c r="F19" s="7">
        <f>IF(AND(Table1[[#This Row],[Predicted Outcome]]=1,Table1[[#This Row],[Actual Outcome]]=1),1,0)</f>
        <v>1</v>
      </c>
      <c r="G19" cm="1">
        <f t="array" ref="G19">_xlfn.XLOOKUP(MAX(IF(Table2[Probability_Default]&lt;Table1[[#This Row],[Probability_Default]],Table2[Probability_Default])),Table2[Probability_Default],Table2[Decile],0)</f>
        <v>9</v>
      </c>
    </row>
    <row r="20" spans="1:9" x14ac:dyDescent="0.2">
      <c r="A20">
        <v>336</v>
      </c>
      <c r="B20">
        <v>1</v>
      </c>
      <c r="C20" s="2">
        <v>8.6372432368955601E-2</v>
      </c>
      <c r="D20" s="2">
        <v>0.91362756763104402</v>
      </c>
      <c r="E20">
        <v>1</v>
      </c>
      <c r="F20" s="7">
        <f>IF(AND(Table1[[#This Row],[Predicted Outcome]]=1,Table1[[#This Row],[Actual Outcome]]=1),1,0)</f>
        <v>1</v>
      </c>
      <c r="G20" cm="1">
        <f t="array" ref="G20">_xlfn.XLOOKUP(MAX(IF(Table2[Probability_Default]&lt;Table1[[#This Row],[Probability_Default]],Table2[Probability_Default])),Table2[Probability_Default],Table2[Decile],0)</f>
        <v>9</v>
      </c>
    </row>
    <row r="21" spans="1:9" x14ac:dyDescent="0.2">
      <c r="A21">
        <v>242</v>
      </c>
      <c r="B21">
        <v>0</v>
      </c>
      <c r="C21" s="2">
        <v>8.7827184360941904E-2</v>
      </c>
      <c r="D21" s="2">
        <v>0.91217281563905805</v>
      </c>
      <c r="E21">
        <v>1</v>
      </c>
      <c r="F21" s="7">
        <f>IF(AND(Table1[[#This Row],[Predicted Outcome]]=1,Table1[[#This Row],[Actual Outcome]]=1),1,0)</f>
        <v>0</v>
      </c>
      <c r="G21" cm="1">
        <f t="array" ref="G21">_xlfn.XLOOKUP(MAX(IF(Table2[Probability_Default]&lt;Table1[[#This Row],[Probability_Default]],Table2[Probability_Default])),Table2[Probability_Default],Table2[Decile],0)</f>
        <v>9</v>
      </c>
    </row>
    <row r="22" spans="1:9" x14ac:dyDescent="0.2">
      <c r="A22">
        <v>224</v>
      </c>
      <c r="B22">
        <v>1</v>
      </c>
      <c r="C22" s="2">
        <v>9.0384901900281395E-2</v>
      </c>
      <c r="D22" s="2">
        <v>0.90961509809971797</v>
      </c>
      <c r="E22">
        <v>1</v>
      </c>
      <c r="F22" s="7">
        <f>IF(AND(Table1[[#This Row],[Predicted Outcome]]=1,Table1[[#This Row],[Actual Outcome]]=1),1,0)</f>
        <v>1</v>
      </c>
      <c r="G22" cm="1">
        <f t="array" ref="G22">_xlfn.XLOOKUP(MAX(IF(Table2[Probability_Default]&lt;Table1[[#This Row],[Probability_Default]],Table2[Probability_Default])),Table2[Probability_Default],Table2[Decile],0)</f>
        <v>9</v>
      </c>
    </row>
    <row r="23" spans="1:9" x14ac:dyDescent="0.2">
      <c r="A23">
        <v>30</v>
      </c>
      <c r="B23">
        <v>1</v>
      </c>
      <c r="C23" s="2">
        <v>9.2925509080634794E-2</v>
      </c>
      <c r="D23" s="2">
        <v>0.90707449091936498</v>
      </c>
      <c r="E23">
        <v>1</v>
      </c>
      <c r="F23" s="7">
        <f>IF(AND(Table1[[#This Row],[Predicted Outcome]]=1,Table1[[#This Row],[Actual Outcome]]=1),1,0)</f>
        <v>1</v>
      </c>
      <c r="G23" cm="1">
        <f t="array" ref="G23">_xlfn.XLOOKUP(MAX(IF(Table2[Probability_Default]&lt;Table1[[#This Row],[Probability_Default]],Table2[Probability_Default])),Table2[Probability_Default],Table2[Decile],0)</f>
        <v>9</v>
      </c>
    </row>
    <row r="24" spans="1:9" x14ac:dyDescent="0.2">
      <c r="A24">
        <v>222</v>
      </c>
      <c r="B24">
        <v>1</v>
      </c>
      <c r="C24" s="2">
        <v>9.3575518763545598E-2</v>
      </c>
      <c r="D24" s="2">
        <v>0.90642448123645403</v>
      </c>
      <c r="E24">
        <v>1</v>
      </c>
      <c r="F24" s="7">
        <f>IF(AND(Table1[[#This Row],[Predicted Outcome]]=1,Table1[[#This Row],[Actual Outcome]]=1),1,0)</f>
        <v>1</v>
      </c>
      <c r="G24" cm="1">
        <f t="array" ref="G24">_xlfn.XLOOKUP(MAX(IF(Table2[Probability_Default]&lt;Table1[[#This Row],[Probability_Default]],Table2[Probability_Default])),Table2[Probability_Default],Table2[Decile],0)</f>
        <v>9</v>
      </c>
    </row>
    <row r="25" spans="1:9" x14ac:dyDescent="0.2">
      <c r="A25">
        <v>247</v>
      </c>
      <c r="B25">
        <v>1</v>
      </c>
      <c r="C25" s="2">
        <v>9.3970191702778594E-2</v>
      </c>
      <c r="D25" s="2">
        <v>0.90602980829722102</v>
      </c>
      <c r="E25">
        <v>1</v>
      </c>
      <c r="F25" s="7">
        <f>IF(AND(Table1[[#This Row],[Predicted Outcome]]=1,Table1[[#This Row],[Actual Outcome]]=1),1,0)</f>
        <v>1</v>
      </c>
      <c r="G25" cm="1">
        <f t="array" ref="G25">_xlfn.XLOOKUP(MAX(IF(Table2[Probability_Default]&lt;Table1[[#This Row],[Probability_Default]],Table2[Probability_Default])),Table2[Probability_Default],Table2[Decile],0)</f>
        <v>9</v>
      </c>
    </row>
    <row r="26" spans="1:9" x14ac:dyDescent="0.2">
      <c r="A26">
        <v>372</v>
      </c>
      <c r="B26">
        <v>0</v>
      </c>
      <c r="C26" s="2">
        <v>9.4369067031179907E-2</v>
      </c>
      <c r="D26" s="2">
        <v>0.90563093296882002</v>
      </c>
      <c r="E26">
        <v>1</v>
      </c>
      <c r="F26" s="7">
        <f>IF(AND(Table1[[#This Row],[Predicted Outcome]]=1,Table1[[#This Row],[Actual Outcome]]=1),1,0)</f>
        <v>0</v>
      </c>
      <c r="G26" cm="1">
        <f t="array" ref="G26">_xlfn.XLOOKUP(MAX(IF(Table2[Probability_Default]&lt;Table1[[#This Row],[Probability_Default]],Table2[Probability_Default])),Table2[Probability_Default],Table2[Decile],0)</f>
        <v>9</v>
      </c>
      <c r="I26">
        <f>SUM(Table1[Actual Outcome])</f>
        <v>258</v>
      </c>
    </row>
    <row r="27" spans="1:9" x14ac:dyDescent="0.2">
      <c r="A27">
        <v>152</v>
      </c>
      <c r="B27">
        <v>0</v>
      </c>
      <c r="C27" s="2">
        <v>9.6431120277745905E-2</v>
      </c>
      <c r="D27" s="2">
        <v>0.90356887972225397</v>
      </c>
      <c r="E27">
        <v>1</v>
      </c>
      <c r="F27" s="7">
        <f>IF(AND(Table1[[#This Row],[Predicted Outcome]]=1,Table1[[#This Row],[Actual Outcome]]=1),1,0)</f>
        <v>0</v>
      </c>
      <c r="G27" cm="1">
        <f t="array" ref="G27">_xlfn.XLOOKUP(MAX(IF(Table2[Probability_Default]&lt;Table1[[#This Row],[Probability_Default]],Table2[Probability_Default])),Table2[Probability_Default],Table2[Decile],0)</f>
        <v>9</v>
      </c>
      <c r="I27">
        <f>SUM(Table1[Predicted Outcome])</f>
        <v>309</v>
      </c>
    </row>
    <row r="28" spans="1:9" x14ac:dyDescent="0.2">
      <c r="A28">
        <v>39</v>
      </c>
      <c r="B28">
        <v>1</v>
      </c>
      <c r="C28" s="2">
        <v>9.9027356285356596E-2</v>
      </c>
      <c r="D28" s="2">
        <v>0.90097264371464303</v>
      </c>
      <c r="E28">
        <v>1</v>
      </c>
      <c r="F28" s="7">
        <f>IF(AND(Table1[[#This Row],[Predicted Outcome]]=1,Table1[[#This Row],[Actual Outcome]]=1),1,0)</f>
        <v>1</v>
      </c>
      <c r="G28" cm="1">
        <f t="array" ref="G28">_xlfn.XLOOKUP(MAX(IF(Table2[Probability_Default]&lt;Table1[[#This Row],[Probability_Default]],Table2[Probability_Default])),Table2[Probability_Default],Table2[Decile],0)</f>
        <v>9</v>
      </c>
    </row>
    <row r="29" spans="1:9" x14ac:dyDescent="0.2">
      <c r="A29">
        <v>83</v>
      </c>
      <c r="B29">
        <v>1</v>
      </c>
      <c r="C29" s="2">
        <v>9.9194297389389702E-2</v>
      </c>
      <c r="D29" s="2">
        <v>0.90080570261060999</v>
      </c>
      <c r="E29">
        <v>1</v>
      </c>
      <c r="F29" s="7">
        <f>IF(AND(Table1[[#This Row],[Predicted Outcome]]=1,Table1[[#This Row],[Actual Outcome]]=1),1,0)</f>
        <v>1</v>
      </c>
      <c r="G29" cm="1">
        <f t="array" ref="G29">_xlfn.XLOOKUP(MAX(IF(Table2[Probability_Default]&lt;Table1[[#This Row],[Probability_Default]],Table2[Probability_Default])),Table2[Probability_Default],Table2[Decile],0)</f>
        <v>9</v>
      </c>
    </row>
    <row r="30" spans="1:9" x14ac:dyDescent="0.2">
      <c r="A30">
        <v>115</v>
      </c>
      <c r="B30">
        <v>0</v>
      </c>
      <c r="C30" s="2">
        <v>0.100125151845101</v>
      </c>
      <c r="D30" s="2">
        <v>0.89987484815489804</v>
      </c>
      <c r="E30">
        <v>1</v>
      </c>
      <c r="F30" s="7">
        <f>IF(AND(Table1[[#This Row],[Predicted Outcome]]=1,Table1[[#This Row],[Actual Outcome]]=1),1,0)</f>
        <v>0</v>
      </c>
      <c r="G30" cm="1">
        <f t="array" ref="G30">_xlfn.XLOOKUP(MAX(IF(Table2[Probability_Default]&lt;Table1[[#This Row],[Probability_Default]],Table2[Probability_Default])),Table2[Probability_Default],Table2[Decile],0)</f>
        <v>9</v>
      </c>
    </row>
    <row r="31" spans="1:9" x14ac:dyDescent="0.2">
      <c r="A31">
        <v>305</v>
      </c>
      <c r="B31">
        <v>1</v>
      </c>
      <c r="C31" s="2">
        <v>0.100761668496054</v>
      </c>
      <c r="D31" s="2">
        <v>0.89923833150394505</v>
      </c>
      <c r="E31">
        <v>1</v>
      </c>
      <c r="F31" s="7">
        <f>IF(AND(Table1[[#This Row],[Predicted Outcome]]=1,Table1[[#This Row],[Actual Outcome]]=1),1,0)</f>
        <v>1</v>
      </c>
      <c r="G31" cm="1">
        <f t="array" ref="G31">_xlfn.XLOOKUP(MAX(IF(Table2[Probability_Default]&lt;Table1[[#This Row],[Probability_Default]],Table2[Probability_Default])),Table2[Probability_Default],Table2[Decile],0)</f>
        <v>9</v>
      </c>
    </row>
    <row r="32" spans="1:9" x14ac:dyDescent="0.2">
      <c r="A32">
        <v>340</v>
      </c>
      <c r="B32">
        <v>1</v>
      </c>
      <c r="C32" s="2">
        <v>0.101896343794128</v>
      </c>
      <c r="D32" s="2">
        <v>0.89810365620587096</v>
      </c>
      <c r="E32">
        <v>1</v>
      </c>
      <c r="F32" s="7">
        <f>IF(AND(Table1[[#This Row],[Predicted Outcome]]=1,Table1[[#This Row],[Actual Outcome]]=1),1,0)</f>
        <v>1</v>
      </c>
      <c r="G32" cm="1">
        <f t="array" ref="G32">_xlfn.XLOOKUP(MAX(IF(Table2[Probability_Default]&lt;Table1[[#This Row],[Probability_Default]],Table2[Probability_Default])),Table2[Probability_Default],Table2[Decile],0)</f>
        <v>9</v>
      </c>
    </row>
    <row r="33" spans="1:7" x14ac:dyDescent="0.2">
      <c r="A33">
        <v>235</v>
      </c>
      <c r="B33">
        <v>1</v>
      </c>
      <c r="C33" s="2">
        <v>0.102903754003495</v>
      </c>
      <c r="D33" s="2">
        <v>0.89709624599650395</v>
      </c>
      <c r="E33">
        <v>1</v>
      </c>
      <c r="F33" s="7">
        <f>IF(AND(Table1[[#This Row],[Predicted Outcome]]=1,Table1[[#This Row],[Actual Outcome]]=1),1,0)</f>
        <v>1</v>
      </c>
      <c r="G33" cm="1">
        <f t="array" ref="G33">_xlfn.XLOOKUP(MAX(IF(Table2[Probability_Default]&lt;Table1[[#This Row],[Probability_Default]],Table2[Probability_Default])),Table2[Probability_Default],Table2[Decile],0)</f>
        <v>9</v>
      </c>
    </row>
    <row r="34" spans="1:7" x14ac:dyDescent="0.2">
      <c r="A34">
        <v>125</v>
      </c>
      <c r="B34">
        <v>1</v>
      </c>
      <c r="C34" s="2">
        <v>0.107324056404802</v>
      </c>
      <c r="D34" s="2">
        <v>0.89267594359519697</v>
      </c>
      <c r="E34">
        <v>1</v>
      </c>
      <c r="F34" s="7">
        <f>IF(AND(Table1[[#This Row],[Predicted Outcome]]=1,Table1[[#This Row],[Actual Outcome]]=1),1,0)</f>
        <v>1</v>
      </c>
      <c r="G34" cm="1">
        <f t="array" ref="G34">_xlfn.XLOOKUP(MAX(IF(Table2[Probability_Default]&lt;Table1[[#This Row],[Probability_Default]],Table2[Probability_Default])),Table2[Probability_Default],Table2[Decile],0)</f>
        <v>9</v>
      </c>
    </row>
    <row r="35" spans="1:7" x14ac:dyDescent="0.2">
      <c r="A35">
        <v>34</v>
      </c>
      <c r="B35">
        <v>1</v>
      </c>
      <c r="C35" s="2">
        <v>0.107358052943587</v>
      </c>
      <c r="D35" s="2">
        <v>0.89264194705641298</v>
      </c>
      <c r="E35">
        <v>1</v>
      </c>
      <c r="F35" s="7">
        <f>IF(AND(Table1[[#This Row],[Predicted Outcome]]=1,Table1[[#This Row],[Actual Outcome]]=1),1,0)</f>
        <v>1</v>
      </c>
      <c r="G35" cm="1">
        <f t="array" ref="G35">_xlfn.XLOOKUP(MAX(IF(Table2[Probability_Default]&lt;Table1[[#This Row],[Probability_Default]],Table2[Probability_Default])),Table2[Probability_Default],Table2[Decile],0)</f>
        <v>9</v>
      </c>
    </row>
    <row r="36" spans="1:7" x14ac:dyDescent="0.2">
      <c r="A36">
        <v>392</v>
      </c>
      <c r="B36">
        <v>1</v>
      </c>
      <c r="C36" s="2">
        <v>0.108165510067983</v>
      </c>
      <c r="D36" s="2">
        <v>0.89183448993201597</v>
      </c>
      <c r="E36">
        <v>1</v>
      </c>
      <c r="F36" s="7">
        <f>IF(AND(Table1[[#This Row],[Predicted Outcome]]=1,Table1[[#This Row],[Actual Outcome]]=1),1,0)</f>
        <v>1</v>
      </c>
      <c r="G36" cm="1">
        <f t="array" ref="G36">_xlfn.XLOOKUP(MAX(IF(Table2[Probability_Default]&lt;Table1[[#This Row],[Probability_Default]],Table2[Probability_Default])),Table2[Probability_Default],Table2[Decile],0)</f>
        <v>9</v>
      </c>
    </row>
    <row r="37" spans="1:7" x14ac:dyDescent="0.2">
      <c r="A37">
        <v>38</v>
      </c>
      <c r="B37">
        <v>1</v>
      </c>
      <c r="C37" s="2">
        <v>0.108488790967656</v>
      </c>
      <c r="D37" s="2">
        <v>0.89151120903234304</v>
      </c>
      <c r="E37">
        <v>1</v>
      </c>
      <c r="F37" s="7">
        <f>IF(AND(Table1[[#This Row],[Predicted Outcome]]=1,Table1[[#This Row],[Actual Outcome]]=1),1,0)</f>
        <v>1</v>
      </c>
      <c r="G37" cm="1">
        <f t="array" ref="G37">_xlfn.XLOOKUP(MAX(IF(Table2[Probability_Default]&lt;Table1[[#This Row],[Probability_Default]],Table2[Probability_Default])),Table2[Probability_Default],Table2[Decile],0)</f>
        <v>9</v>
      </c>
    </row>
    <row r="38" spans="1:7" x14ac:dyDescent="0.2">
      <c r="A38">
        <v>118</v>
      </c>
      <c r="B38">
        <v>0</v>
      </c>
      <c r="C38" s="2">
        <v>0.11000390642123201</v>
      </c>
      <c r="D38" s="2">
        <v>0.88999609357876697</v>
      </c>
      <c r="E38">
        <v>1</v>
      </c>
      <c r="F38" s="7">
        <f>IF(AND(Table1[[#This Row],[Predicted Outcome]]=1,Table1[[#This Row],[Actual Outcome]]=1),1,0)</f>
        <v>0</v>
      </c>
      <c r="G38" cm="1">
        <f t="array" ref="G38">_xlfn.XLOOKUP(MAX(IF(Table2[Probability_Default]&lt;Table1[[#This Row],[Probability_Default]],Table2[Probability_Default])),Table2[Probability_Default],Table2[Decile],0)</f>
        <v>9</v>
      </c>
    </row>
    <row r="39" spans="1:7" x14ac:dyDescent="0.2">
      <c r="A39">
        <v>215</v>
      </c>
      <c r="B39">
        <v>1</v>
      </c>
      <c r="C39" s="2">
        <v>0.11004715587545599</v>
      </c>
      <c r="D39" s="2">
        <v>0.88995284412454301</v>
      </c>
      <c r="E39">
        <v>1</v>
      </c>
      <c r="F39" s="7">
        <f>IF(AND(Table1[[#This Row],[Predicted Outcome]]=1,Table1[[#This Row],[Actual Outcome]]=1),1,0)</f>
        <v>1</v>
      </c>
      <c r="G39" cm="1">
        <f t="array" ref="G39">_xlfn.XLOOKUP(MAX(IF(Table2[Probability_Default]&lt;Table1[[#This Row],[Probability_Default]],Table2[Probability_Default])),Table2[Probability_Default],Table2[Decile],0)</f>
        <v>9</v>
      </c>
    </row>
    <row r="40" spans="1:7" x14ac:dyDescent="0.2">
      <c r="A40">
        <v>33</v>
      </c>
      <c r="B40">
        <v>1</v>
      </c>
      <c r="C40" s="2">
        <v>0.11154210066959699</v>
      </c>
      <c r="D40" s="2">
        <v>0.88845789933040198</v>
      </c>
      <c r="E40">
        <v>1</v>
      </c>
      <c r="F40" s="7">
        <f>IF(AND(Table1[[#This Row],[Predicted Outcome]]=1,Table1[[#This Row],[Actual Outcome]]=1),1,0)</f>
        <v>1</v>
      </c>
      <c r="G40" cm="1">
        <f t="array" ref="G40">_xlfn.XLOOKUP(MAX(IF(Table2[Probability_Default]&lt;Table1[[#This Row],[Probability_Default]],Table2[Probability_Default])),Table2[Probability_Default],Table2[Decile],0)</f>
        <v>9</v>
      </c>
    </row>
    <row r="41" spans="1:7" x14ac:dyDescent="0.2">
      <c r="A41">
        <v>37</v>
      </c>
      <c r="B41">
        <v>1</v>
      </c>
      <c r="C41" s="2">
        <v>0.112465090885733</v>
      </c>
      <c r="D41" s="2">
        <v>0.88753490911426602</v>
      </c>
      <c r="E41">
        <v>1</v>
      </c>
      <c r="F41" s="7">
        <f>IF(AND(Table1[[#This Row],[Predicted Outcome]]=1,Table1[[#This Row],[Actual Outcome]]=1),1,0)</f>
        <v>1</v>
      </c>
      <c r="G41" cm="1">
        <f t="array" ref="G41">_xlfn.XLOOKUP(MAX(IF(Table2[Probability_Default]&lt;Table1[[#This Row],[Probability_Default]],Table2[Probability_Default])),Table2[Probability_Default],Table2[Decile],0)</f>
        <v>9</v>
      </c>
    </row>
    <row r="42" spans="1:7" x14ac:dyDescent="0.2">
      <c r="A42">
        <v>191</v>
      </c>
      <c r="B42">
        <v>0</v>
      </c>
      <c r="C42" s="2">
        <v>0.11363577711256199</v>
      </c>
      <c r="D42" s="2">
        <v>0.88636422288743699</v>
      </c>
      <c r="E42">
        <v>1</v>
      </c>
      <c r="F42" s="7">
        <f>IF(AND(Table1[[#This Row],[Predicted Outcome]]=1,Table1[[#This Row],[Actual Outcome]]=1),1,0)</f>
        <v>0</v>
      </c>
      <c r="G42" cm="1">
        <f t="array" ref="G42">_xlfn.XLOOKUP(MAX(IF(Table2[Probability_Default]&lt;Table1[[#This Row],[Probability_Default]],Table2[Probability_Default])),Table2[Probability_Default],Table2[Decile],0)</f>
        <v>8</v>
      </c>
    </row>
    <row r="43" spans="1:7" x14ac:dyDescent="0.2">
      <c r="A43">
        <v>76</v>
      </c>
      <c r="B43">
        <v>1</v>
      </c>
      <c r="C43" s="2">
        <v>0.11366976429652299</v>
      </c>
      <c r="D43" s="2">
        <v>0.88633023570347602</v>
      </c>
      <c r="E43">
        <v>1</v>
      </c>
      <c r="F43" s="7">
        <f>IF(AND(Table1[[#This Row],[Predicted Outcome]]=1,Table1[[#This Row],[Actual Outcome]]=1),1,0)</f>
        <v>1</v>
      </c>
      <c r="G43" cm="1">
        <f t="array" ref="G43">_xlfn.XLOOKUP(MAX(IF(Table2[Probability_Default]&lt;Table1[[#This Row],[Probability_Default]],Table2[Probability_Default])),Table2[Probability_Default],Table2[Decile],0)</f>
        <v>8</v>
      </c>
    </row>
    <row r="44" spans="1:7" x14ac:dyDescent="0.2">
      <c r="A44">
        <v>396</v>
      </c>
      <c r="B44">
        <v>0</v>
      </c>
      <c r="C44" s="2">
        <v>0.113932462611348</v>
      </c>
      <c r="D44" s="2">
        <v>0.88606753738865096</v>
      </c>
      <c r="E44">
        <v>1</v>
      </c>
      <c r="F44" s="7">
        <f>IF(AND(Table1[[#This Row],[Predicted Outcome]]=1,Table1[[#This Row],[Actual Outcome]]=1),1,0)</f>
        <v>0</v>
      </c>
      <c r="G44" cm="1">
        <f t="array" ref="G44">_xlfn.XLOOKUP(MAX(IF(Table2[Probability_Default]&lt;Table1[[#This Row],[Probability_Default]],Table2[Probability_Default])),Table2[Probability_Default],Table2[Decile],0)</f>
        <v>8</v>
      </c>
    </row>
    <row r="45" spans="1:7" x14ac:dyDescent="0.2">
      <c r="A45">
        <v>168</v>
      </c>
      <c r="B45">
        <v>0</v>
      </c>
      <c r="C45" s="2">
        <v>0.11474333455334999</v>
      </c>
      <c r="D45" s="2">
        <v>0.88525666544664905</v>
      </c>
      <c r="E45">
        <v>1</v>
      </c>
      <c r="F45" s="7">
        <f>IF(AND(Table1[[#This Row],[Predicted Outcome]]=1,Table1[[#This Row],[Actual Outcome]]=1),1,0)</f>
        <v>0</v>
      </c>
      <c r="G45" cm="1">
        <f t="array" ref="G45">_xlfn.XLOOKUP(MAX(IF(Table2[Probability_Default]&lt;Table1[[#This Row],[Probability_Default]],Table2[Probability_Default])),Table2[Probability_Default],Table2[Decile],0)</f>
        <v>8</v>
      </c>
    </row>
    <row r="46" spans="1:7" x14ac:dyDescent="0.2">
      <c r="A46">
        <v>221</v>
      </c>
      <c r="B46">
        <v>1</v>
      </c>
      <c r="C46" s="2">
        <v>0.114818543076169</v>
      </c>
      <c r="D46" s="2">
        <v>0.88518145692382999</v>
      </c>
      <c r="E46">
        <v>1</v>
      </c>
      <c r="F46" s="7">
        <f>IF(AND(Table1[[#This Row],[Predicted Outcome]]=1,Table1[[#This Row],[Actual Outcome]]=1),1,0)</f>
        <v>1</v>
      </c>
      <c r="G46" cm="1">
        <f t="array" ref="G46">_xlfn.XLOOKUP(MAX(IF(Table2[Probability_Default]&lt;Table1[[#This Row],[Probability_Default]],Table2[Probability_Default])),Table2[Probability_Default],Table2[Decile],0)</f>
        <v>8</v>
      </c>
    </row>
    <row r="47" spans="1:7" x14ac:dyDescent="0.2">
      <c r="A47">
        <v>54</v>
      </c>
      <c r="B47">
        <v>1</v>
      </c>
      <c r="C47" s="2">
        <v>0.115073327708979</v>
      </c>
      <c r="D47" s="2">
        <v>0.88492667229101996</v>
      </c>
      <c r="E47">
        <v>1</v>
      </c>
      <c r="F47" s="7">
        <f>IF(AND(Table1[[#This Row],[Predicted Outcome]]=1,Table1[[#This Row],[Actual Outcome]]=1),1,0)</f>
        <v>1</v>
      </c>
      <c r="G47" cm="1">
        <f t="array" ref="G47">_xlfn.XLOOKUP(MAX(IF(Table2[Probability_Default]&lt;Table1[[#This Row],[Probability_Default]],Table2[Probability_Default])),Table2[Probability_Default],Table2[Decile],0)</f>
        <v>8</v>
      </c>
    </row>
    <row r="48" spans="1:7" x14ac:dyDescent="0.2">
      <c r="A48">
        <v>204</v>
      </c>
      <c r="B48">
        <v>1</v>
      </c>
      <c r="C48" s="2">
        <v>0.11670704173786001</v>
      </c>
      <c r="D48" s="2">
        <v>0.88329295826213905</v>
      </c>
      <c r="E48">
        <v>1</v>
      </c>
      <c r="F48" s="7">
        <f>IF(AND(Table1[[#This Row],[Predicted Outcome]]=1,Table1[[#This Row],[Actual Outcome]]=1),1,0)</f>
        <v>1</v>
      </c>
      <c r="G48" cm="1">
        <f t="array" ref="G48">_xlfn.XLOOKUP(MAX(IF(Table2[Probability_Default]&lt;Table1[[#This Row],[Probability_Default]],Table2[Probability_Default])),Table2[Probability_Default],Table2[Decile],0)</f>
        <v>8</v>
      </c>
    </row>
    <row r="49" spans="1:7" x14ac:dyDescent="0.2">
      <c r="A49">
        <v>160</v>
      </c>
      <c r="B49">
        <v>0</v>
      </c>
      <c r="C49" s="2">
        <v>0.116923082189252</v>
      </c>
      <c r="D49" s="2">
        <v>0.88307691781074704</v>
      </c>
      <c r="E49">
        <v>1</v>
      </c>
      <c r="F49" s="7">
        <f>IF(AND(Table1[[#This Row],[Predicted Outcome]]=1,Table1[[#This Row],[Actual Outcome]]=1),1,0)</f>
        <v>0</v>
      </c>
      <c r="G49" cm="1">
        <f t="array" ref="G49">_xlfn.XLOOKUP(MAX(IF(Table2[Probability_Default]&lt;Table1[[#This Row],[Probability_Default]],Table2[Probability_Default])),Table2[Probability_Default],Table2[Decile],0)</f>
        <v>8</v>
      </c>
    </row>
    <row r="50" spans="1:7" x14ac:dyDescent="0.2">
      <c r="A50">
        <v>140</v>
      </c>
      <c r="B50">
        <v>1</v>
      </c>
      <c r="C50" s="2">
        <v>0.117280992114618</v>
      </c>
      <c r="D50" s="2">
        <v>0.88271900788538105</v>
      </c>
      <c r="E50">
        <v>1</v>
      </c>
      <c r="F50" s="7">
        <f>IF(AND(Table1[[#This Row],[Predicted Outcome]]=1,Table1[[#This Row],[Actual Outcome]]=1),1,0)</f>
        <v>1</v>
      </c>
      <c r="G50" cm="1">
        <f t="array" ref="G50">_xlfn.XLOOKUP(MAX(IF(Table2[Probability_Default]&lt;Table1[[#This Row],[Probability_Default]],Table2[Probability_Default])),Table2[Probability_Default],Table2[Decile],0)</f>
        <v>8</v>
      </c>
    </row>
    <row r="51" spans="1:7" x14ac:dyDescent="0.2">
      <c r="A51">
        <v>124</v>
      </c>
      <c r="B51">
        <v>1</v>
      </c>
      <c r="C51" s="2">
        <v>0.117609338436776</v>
      </c>
      <c r="D51" s="2">
        <v>0.88239066156322299</v>
      </c>
      <c r="E51">
        <v>1</v>
      </c>
      <c r="F51" s="7">
        <f>IF(AND(Table1[[#This Row],[Predicted Outcome]]=1,Table1[[#This Row],[Actual Outcome]]=1),1,0)</f>
        <v>1</v>
      </c>
      <c r="G51" cm="1">
        <f t="array" ref="G51">_xlfn.XLOOKUP(MAX(IF(Table2[Probability_Default]&lt;Table1[[#This Row],[Probability_Default]],Table2[Probability_Default])),Table2[Probability_Default],Table2[Decile],0)</f>
        <v>8</v>
      </c>
    </row>
    <row r="52" spans="1:7" x14ac:dyDescent="0.2">
      <c r="A52">
        <v>223</v>
      </c>
      <c r="B52">
        <v>0</v>
      </c>
      <c r="C52" s="2">
        <v>0.118420113216181</v>
      </c>
      <c r="D52" s="2">
        <v>0.88157988678381805</v>
      </c>
      <c r="E52">
        <v>1</v>
      </c>
      <c r="F52" s="7">
        <f>IF(AND(Table1[[#This Row],[Predicted Outcome]]=1,Table1[[#This Row],[Actual Outcome]]=1),1,0)</f>
        <v>0</v>
      </c>
      <c r="G52" cm="1">
        <f t="array" ref="G52">_xlfn.XLOOKUP(MAX(IF(Table2[Probability_Default]&lt;Table1[[#This Row],[Probability_Default]],Table2[Probability_Default])),Table2[Probability_Default],Table2[Decile],0)</f>
        <v>8</v>
      </c>
    </row>
    <row r="53" spans="1:7" x14ac:dyDescent="0.2">
      <c r="A53">
        <v>225</v>
      </c>
      <c r="B53">
        <v>1</v>
      </c>
      <c r="C53" s="2">
        <v>0.11888060067003201</v>
      </c>
      <c r="D53" s="2">
        <v>0.88111939932996697</v>
      </c>
      <c r="E53">
        <v>1</v>
      </c>
      <c r="F53" s="7">
        <f>IF(AND(Table1[[#This Row],[Predicted Outcome]]=1,Table1[[#This Row],[Actual Outcome]]=1),1,0)</f>
        <v>1</v>
      </c>
      <c r="G53" cm="1">
        <f t="array" ref="G53">_xlfn.XLOOKUP(MAX(IF(Table2[Probability_Default]&lt;Table1[[#This Row],[Probability_Default]],Table2[Probability_Default])),Table2[Probability_Default],Table2[Decile],0)</f>
        <v>8</v>
      </c>
    </row>
    <row r="54" spans="1:7" x14ac:dyDescent="0.2">
      <c r="A54">
        <v>185</v>
      </c>
      <c r="B54">
        <v>0</v>
      </c>
      <c r="C54" s="2">
        <v>0.121533068769257</v>
      </c>
      <c r="D54" s="2">
        <v>0.87846693123074204</v>
      </c>
      <c r="E54">
        <v>1</v>
      </c>
      <c r="F54" s="7">
        <f>IF(AND(Table1[[#This Row],[Predicted Outcome]]=1,Table1[[#This Row],[Actual Outcome]]=1),1,0)</f>
        <v>0</v>
      </c>
      <c r="G54" cm="1">
        <f t="array" ref="G54">_xlfn.XLOOKUP(MAX(IF(Table2[Probability_Default]&lt;Table1[[#This Row],[Probability_Default]],Table2[Probability_Default])),Table2[Probability_Default],Table2[Decile],0)</f>
        <v>8</v>
      </c>
    </row>
    <row r="55" spans="1:7" x14ac:dyDescent="0.2">
      <c r="A55">
        <v>304</v>
      </c>
      <c r="B55">
        <v>1</v>
      </c>
      <c r="C55" s="2">
        <v>0.122263799627587</v>
      </c>
      <c r="D55" s="2">
        <v>0.87773620037241196</v>
      </c>
      <c r="E55">
        <v>1</v>
      </c>
      <c r="F55" s="7">
        <f>IF(AND(Table1[[#This Row],[Predicted Outcome]]=1,Table1[[#This Row],[Actual Outcome]]=1),1,0)</f>
        <v>1</v>
      </c>
      <c r="G55" cm="1">
        <f t="array" ref="G55">_xlfn.XLOOKUP(MAX(IF(Table2[Probability_Default]&lt;Table1[[#This Row],[Probability_Default]],Table2[Probability_Default])),Table2[Probability_Default],Table2[Decile],0)</f>
        <v>8</v>
      </c>
    </row>
    <row r="56" spans="1:7" x14ac:dyDescent="0.2">
      <c r="A56">
        <v>311</v>
      </c>
      <c r="B56">
        <v>1</v>
      </c>
      <c r="C56" s="2">
        <v>0.123798192581082</v>
      </c>
      <c r="D56" s="2">
        <v>0.87620180741891696</v>
      </c>
      <c r="E56">
        <v>1</v>
      </c>
      <c r="F56" s="7">
        <f>IF(AND(Table1[[#This Row],[Predicted Outcome]]=1,Table1[[#This Row],[Actual Outcome]]=1),1,0)</f>
        <v>1</v>
      </c>
      <c r="G56" cm="1">
        <f t="array" ref="G56">_xlfn.XLOOKUP(MAX(IF(Table2[Probability_Default]&lt;Table1[[#This Row],[Probability_Default]],Table2[Probability_Default])),Table2[Probability_Default],Table2[Decile],0)</f>
        <v>8</v>
      </c>
    </row>
    <row r="57" spans="1:7" x14ac:dyDescent="0.2">
      <c r="A57">
        <v>13</v>
      </c>
      <c r="B57">
        <v>1</v>
      </c>
      <c r="C57" s="2">
        <v>0.124641159433229</v>
      </c>
      <c r="D57" s="2">
        <v>0.87535884056677005</v>
      </c>
      <c r="E57">
        <v>1</v>
      </c>
      <c r="F57" s="7">
        <f>IF(AND(Table1[[#This Row],[Predicted Outcome]]=1,Table1[[#This Row],[Actual Outcome]]=1),1,0)</f>
        <v>1</v>
      </c>
      <c r="G57" cm="1">
        <f t="array" ref="G57">_xlfn.XLOOKUP(MAX(IF(Table2[Probability_Default]&lt;Table1[[#This Row],[Probability_Default]],Table2[Probability_Default])),Table2[Probability_Default],Table2[Decile],0)</f>
        <v>8</v>
      </c>
    </row>
    <row r="58" spans="1:7" x14ac:dyDescent="0.2">
      <c r="A58">
        <v>104</v>
      </c>
      <c r="B58">
        <v>1</v>
      </c>
      <c r="C58" s="2">
        <v>0.12522590979151499</v>
      </c>
      <c r="D58" s="2">
        <v>0.87477409020848496</v>
      </c>
      <c r="E58">
        <v>1</v>
      </c>
      <c r="F58" s="7">
        <f>IF(AND(Table1[[#This Row],[Predicted Outcome]]=1,Table1[[#This Row],[Actual Outcome]]=1),1,0)</f>
        <v>1</v>
      </c>
      <c r="G58" cm="1">
        <f t="array" ref="G58">_xlfn.XLOOKUP(MAX(IF(Table2[Probability_Default]&lt;Table1[[#This Row],[Probability_Default]],Table2[Probability_Default])),Table2[Probability_Default],Table2[Decile],0)</f>
        <v>8</v>
      </c>
    </row>
    <row r="59" spans="1:7" x14ac:dyDescent="0.2">
      <c r="A59">
        <v>367</v>
      </c>
      <c r="B59">
        <v>1</v>
      </c>
      <c r="C59" s="2">
        <v>0.12787577977477699</v>
      </c>
      <c r="D59" s="2">
        <v>0.87212422022522196</v>
      </c>
      <c r="E59">
        <v>1</v>
      </c>
      <c r="F59" s="7">
        <f>IF(AND(Table1[[#This Row],[Predicted Outcome]]=1,Table1[[#This Row],[Actual Outcome]]=1),1,0)</f>
        <v>1</v>
      </c>
      <c r="G59" cm="1">
        <f t="array" ref="G59">_xlfn.XLOOKUP(MAX(IF(Table2[Probability_Default]&lt;Table1[[#This Row],[Probability_Default]],Table2[Probability_Default])),Table2[Probability_Default],Table2[Decile],0)</f>
        <v>8</v>
      </c>
    </row>
    <row r="60" spans="1:7" x14ac:dyDescent="0.2">
      <c r="A60">
        <v>23</v>
      </c>
      <c r="B60">
        <v>1</v>
      </c>
      <c r="C60" s="2">
        <v>0.12814770184327301</v>
      </c>
      <c r="D60" s="2">
        <v>0.87185229815672605</v>
      </c>
      <c r="E60">
        <v>1</v>
      </c>
      <c r="F60" s="7">
        <f>IF(AND(Table1[[#This Row],[Predicted Outcome]]=1,Table1[[#This Row],[Actual Outcome]]=1),1,0)</f>
        <v>1</v>
      </c>
      <c r="G60" cm="1">
        <f t="array" ref="G60">_xlfn.XLOOKUP(MAX(IF(Table2[Probability_Default]&lt;Table1[[#This Row],[Probability_Default]],Table2[Probability_Default])),Table2[Probability_Default],Table2[Decile],0)</f>
        <v>8</v>
      </c>
    </row>
    <row r="61" spans="1:7" x14ac:dyDescent="0.2">
      <c r="A61">
        <v>260</v>
      </c>
      <c r="B61">
        <v>1</v>
      </c>
      <c r="C61" s="2">
        <v>0.130388099956985</v>
      </c>
      <c r="D61" s="2">
        <v>0.86961190004301403</v>
      </c>
      <c r="E61">
        <v>1</v>
      </c>
      <c r="F61" s="7">
        <f>IF(AND(Table1[[#This Row],[Predicted Outcome]]=1,Table1[[#This Row],[Actual Outcome]]=1),1,0)</f>
        <v>1</v>
      </c>
      <c r="G61" cm="1">
        <f t="array" ref="G61">_xlfn.XLOOKUP(MAX(IF(Table2[Probability_Default]&lt;Table1[[#This Row],[Probability_Default]],Table2[Probability_Default])),Table2[Probability_Default],Table2[Decile],0)</f>
        <v>8</v>
      </c>
    </row>
    <row r="62" spans="1:7" x14ac:dyDescent="0.2">
      <c r="A62">
        <v>75</v>
      </c>
      <c r="B62">
        <v>1</v>
      </c>
      <c r="C62" s="2">
        <v>0.13108982553902301</v>
      </c>
      <c r="D62" s="2">
        <v>0.86891017446097596</v>
      </c>
      <c r="E62">
        <v>1</v>
      </c>
      <c r="F62" s="7">
        <f>IF(AND(Table1[[#This Row],[Predicted Outcome]]=1,Table1[[#This Row],[Actual Outcome]]=1),1,0)</f>
        <v>1</v>
      </c>
      <c r="G62" cm="1">
        <f t="array" ref="G62">_xlfn.XLOOKUP(MAX(IF(Table2[Probability_Default]&lt;Table1[[#This Row],[Probability_Default]],Table2[Probability_Default])),Table2[Probability_Default],Table2[Decile],0)</f>
        <v>8</v>
      </c>
    </row>
    <row r="63" spans="1:7" x14ac:dyDescent="0.2">
      <c r="A63">
        <v>8</v>
      </c>
      <c r="B63">
        <v>1</v>
      </c>
      <c r="C63" s="2">
        <v>0.132515134311087</v>
      </c>
      <c r="D63" s="2">
        <v>0.86748486568891203</v>
      </c>
      <c r="E63">
        <v>1</v>
      </c>
      <c r="F63" s="7">
        <f>IF(AND(Table1[[#This Row],[Predicted Outcome]]=1,Table1[[#This Row],[Actual Outcome]]=1),1,0)</f>
        <v>1</v>
      </c>
      <c r="G63" cm="1">
        <f t="array" ref="G63">_xlfn.XLOOKUP(MAX(IF(Table2[Probability_Default]&lt;Table1[[#This Row],[Probability_Default]],Table2[Probability_Default])),Table2[Probability_Default],Table2[Decile],0)</f>
        <v>8</v>
      </c>
    </row>
    <row r="64" spans="1:7" x14ac:dyDescent="0.2">
      <c r="A64">
        <v>134</v>
      </c>
      <c r="B64">
        <v>0</v>
      </c>
      <c r="C64" s="2">
        <v>0.13401507233370399</v>
      </c>
      <c r="D64" s="2">
        <v>0.86598492766629498</v>
      </c>
      <c r="E64">
        <v>1</v>
      </c>
      <c r="F64" s="7">
        <f>IF(AND(Table1[[#This Row],[Predicted Outcome]]=1,Table1[[#This Row],[Actual Outcome]]=1),1,0)</f>
        <v>0</v>
      </c>
      <c r="G64" cm="1">
        <f t="array" ref="G64">_xlfn.XLOOKUP(MAX(IF(Table2[Probability_Default]&lt;Table1[[#This Row],[Probability_Default]],Table2[Probability_Default])),Table2[Probability_Default],Table2[Decile],0)</f>
        <v>8</v>
      </c>
    </row>
    <row r="65" spans="1:7" x14ac:dyDescent="0.2">
      <c r="A65">
        <v>388</v>
      </c>
      <c r="B65">
        <v>1</v>
      </c>
      <c r="C65" s="2">
        <v>0.134462758336855</v>
      </c>
      <c r="D65" s="2">
        <v>0.86553724166314405</v>
      </c>
      <c r="E65">
        <v>1</v>
      </c>
      <c r="F65" s="7">
        <f>IF(AND(Table1[[#This Row],[Predicted Outcome]]=1,Table1[[#This Row],[Actual Outcome]]=1),1,0)</f>
        <v>1</v>
      </c>
      <c r="G65" cm="1">
        <f t="array" ref="G65">_xlfn.XLOOKUP(MAX(IF(Table2[Probability_Default]&lt;Table1[[#This Row],[Probability_Default]],Table2[Probability_Default])),Table2[Probability_Default],Table2[Decile],0)</f>
        <v>8</v>
      </c>
    </row>
    <row r="66" spans="1:7" x14ac:dyDescent="0.2">
      <c r="A66">
        <v>11</v>
      </c>
      <c r="B66">
        <v>1</v>
      </c>
      <c r="C66" s="2">
        <v>0.13460563458031799</v>
      </c>
      <c r="D66" s="2">
        <v>0.86539436541968096</v>
      </c>
      <c r="E66">
        <v>1</v>
      </c>
      <c r="F66" s="7">
        <f>IF(AND(Table1[[#This Row],[Predicted Outcome]]=1,Table1[[#This Row],[Actual Outcome]]=1),1,0)</f>
        <v>1</v>
      </c>
      <c r="G66" cm="1">
        <f t="array" ref="G66">_xlfn.XLOOKUP(MAX(IF(Table2[Probability_Default]&lt;Table1[[#This Row],[Probability_Default]],Table2[Probability_Default])),Table2[Probability_Default],Table2[Decile],0)</f>
        <v>8</v>
      </c>
    </row>
    <row r="67" spans="1:7" x14ac:dyDescent="0.2">
      <c r="A67">
        <v>226</v>
      </c>
      <c r="B67">
        <v>1</v>
      </c>
      <c r="C67" s="2">
        <v>0.13509044679975901</v>
      </c>
      <c r="D67" s="2">
        <v>0.86490955320023999</v>
      </c>
      <c r="E67">
        <v>1</v>
      </c>
      <c r="F67" s="7">
        <f>IF(AND(Table1[[#This Row],[Predicted Outcome]]=1,Table1[[#This Row],[Actual Outcome]]=1),1,0)</f>
        <v>1</v>
      </c>
      <c r="G67" cm="1">
        <f t="array" ref="G67">_xlfn.XLOOKUP(MAX(IF(Table2[Probability_Default]&lt;Table1[[#This Row],[Probability_Default]],Table2[Probability_Default])),Table2[Probability_Default],Table2[Decile],0)</f>
        <v>8</v>
      </c>
    </row>
    <row r="68" spans="1:7" x14ac:dyDescent="0.2">
      <c r="A68">
        <v>394</v>
      </c>
      <c r="B68">
        <v>1</v>
      </c>
      <c r="C68" s="2">
        <v>0.135367077456225</v>
      </c>
      <c r="D68" s="2">
        <v>0.864632922543774</v>
      </c>
      <c r="E68">
        <v>1</v>
      </c>
      <c r="F68" s="7">
        <f>IF(AND(Table1[[#This Row],[Predicted Outcome]]=1,Table1[[#This Row],[Actual Outcome]]=1),1,0)</f>
        <v>1</v>
      </c>
      <c r="G68" cm="1">
        <f t="array" ref="G68">_xlfn.XLOOKUP(MAX(IF(Table2[Probability_Default]&lt;Table1[[#This Row],[Probability_Default]],Table2[Probability_Default])),Table2[Probability_Default],Table2[Decile],0)</f>
        <v>8</v>
      </c>
    </row>
    <row r="69" spans="1:7" x14ac:dyDescent="0.2">
      <c r="A69">
        <v>85</v>
      </c>
      <c r="B69">
        <v>1</v>
      </c>
      <c r="C69" s="2">
        <v>0.13830757054399101</v>
      </c>
      <c r="D69" s="2">
        <v>0.86169242945600799</v>
      </c>
      <c r="E69">
        <v>1</v>
      </c>
      <c r="F69" s="7">
        <f>IF(AND(Table1[[#This Row],[Predicted Outcome]]=1,Table1[[#This Row],[Actual Outcome]]=1),1,0)</f>
        <v>1</v>
      </c>
      <c r="G69" cm="1">
        <f t="array" ref="G69">_xlfn.XLOOKUP(MAX(IF(Table2[Probability_Default]&lt;Table1[[#This Row],[Probability_Default]],Table2[Probability_Default])),Table2[Probability_Default],Table2[Decile],0)</f>
        <v>8</v>
      </c>
    </row>
    <row r="70" spans="1:7" x14ac:dyDescent="0.2">
      <c r="A70">
        <v>130</v>
      </c>
      <c r="B70">
        <v>1</v>
      </c>
      <c r="C70" s="2">
        <v>0.13865003659863501</v>
      </c>
      <c r="D70" s="2">
        <v>0.86134996340136405</v>
      </c>
      <c r="E70">
        <v>1</v>
      </c>
      <c r="F70" s="7">
        <f>IF(AND(Table1[[#This Row],[Predicted Outcome]]=1,Table1[[#This Row],[Actual Outcome]]=1),1,0)</f>
        <v>1</v>
      </c>
      <c r="G70" cm="1">
        <f t="array" ref="G70">_xlfn.XLOOKUP(MAX(IF(Table2[Probability_Default]&lt;Table1[[#This Row],[Probability_Default]],Table2[Probability_Default])),Table2[Probability_Default],Table2[Decile],0)</f>
        <v>8</v>
      </c>
    </row>
    <row r="71" spans="1:7" x14ac:dyDescent="0.2">
      <c r="A71">
        <v>274</v>
      </c>
      <c r="B71">
        <v>1</v>
      </c>
      <c r="C71" s="2">
        <v>0.14086257286939299</v>
      </c>
      <c r="D71" s="2">
        <v>0.85913742713060604</v>
      </c>
      <c r="E71">
        <v>1</v>
      </c>
      <c r="F71" s="7">
        <f>IF(AND(Table1[[#This Row],[Predicted Outcome]]=1,Table1[[#This Row],[Actual Outcome]]=1),1,0)</f>
        <v>1</v>
      </c>
      <c r="G71" cm="1">
        <f t="array" ref="G71">_xlfn.XLOOKUP(MAX(IF(Table2[Probability_Default]&lt;Table1[[#This Row],[Probability_Default]],Table2[Probability_Default])),Table2[Probability_Default],Table2[Decile],0)</f>
        <v>8</v>
      </c>
    </row>
    <row r="72" spans="1:7" x14ac:dyDescent="0.2">
      <c r="A72">
        <v>364</v>
      </c>
      <c r="B72">
        <v>1</v>
      </c>
      <c r="C72" s="2">
        <v>0.14317247958892301</v>
      </c>
      <c r="D72" s="2">
        <v>0.85682752041107602</v>
      </c>
      <c r="E72">
        <v>1</v>
      </c>
      <c r="F72" s="7">
        <f>IF(AND(Table1[[#This Row],[Predicted Outcome]]=1,Table1[[#This Row],[Actual Outcome]]=1),1,0)</f>
        <v>1</v>
      </c>
      <c r="G72" cm="1">
        <f t="array" ref="G72">_xlfn.XLOOKUP(MAX(IF(Table2[Probability_Default]&lt;Table1[[#This Row],[Probability_Default]],Table2[Probability_Default])),Table2[Probability_Default],Table2[Decile],0)</f>
        <v>8</v>
      </c>
    </row>
    <row r="73" spans="1:7" x14ac:dyDescent="0.2">
      <c r="A73">
        <v>182</v>
      </c>
      <c r="B73">
        <v>0</v>
      </c>
      <c r="C73" s="2">
        <v>0.14433862793601299</v>
      </c>
      <c r="D73" s="2">
        <v>0.85566137206398596</v>
      </c>
      <c r="E73">
        <v>1</v>
      </c>
      <c r="F73" s="7">
        <f>IF(AND(Table1[[#This Row],[Predicted Outcome]]=1,Table1[[#This Row],[Actual Outcome]]=1),1,0)</f>
        <v>0</v>
      </c>
      <c r="G73" cm="1">
        <f t="array" ref="G73">_xlfn.XLOOKUP(MAX(IF(Table2[Probability_Default]&lt;Table1[[#This Row],[Probability_Default]],Table2[Probability_Default])),Table2[Probability_Default],Table2[Decile],0)</f>
        <v>8</v>
      </c>
    </row>
    <row r="74" spans="1:7" x14ac:dyDescent="0.2">
      <c r="A74">
        <v>66</v>
      </c>
      <c r="B74">
        <v>1</v>
      </c>
      <c r="C74" s="2">
        <v>0.14435823152301699</v>
      </c>
      <c r="D74" s="2">
        <v>0.85564176847698203</v>
      </c>
      <c r="E74">
        <v>1</v>
      </c>
      <c r="F74" s="7">
        <f>IF(AND(Table1[[#This Row],[Predicted Outcome]]=1,Table1[[#This Row],[Actual Outcome]]=1),1,0)</f>
        <v>1</v>
      </c>
      <c r="G74" cm="1">
        <f t="array" ref="G74">_xlfn.XLOOKUP(MAX(IF(Table2[Probability_Default]&lt;Table1[[#This Row],[Probability_Default]],Table2[Probability_Default])),Table2[Probability_Default],Table2[Decile],0)</f>
        <v>8</v>
      </c>
    </row>
    <row r="75" spans="1:7" x14ac:dyDescent="0.2">
      <c r="A75">
        <v>9</v>
      </c>
      <c r="B75">
        <v>1</v>
      </c>
      <c r="C75" s="2">
        <v>0.144444899221119</v>
      </c>
      <c r="D75" s="2">
        <v>0.85555510077887997</v>
      </c>
      <c r="E75">
        <v>1</v>
      </c>
      <c r="F75" s="7">
        <f>IF(AND(Table1[[#This Row],[Predicted Outcome]]=1,Table1[[#This Row],[Actual Outcome]]=1),1,0)</f>
        <v>1</v>
      </c>
      <c r="G75" cm="1">
        <f t="array" ref="G75">_xlfn.XLOOKUP(MAX(IF(Table2[Probability_Default]&lt;Table1[[#This Row],[Probability_Default]],Table2[Probability_Default])),Table2[Probability_Default],Table2[Decile],0)</f>
        <v>8</v>
      </c>
    </row>
    <row r="76" spans="1:7" x14ac:dyDescent="0.2">
      <c r="A76">
        <v>203</v>
      </c>
      <c r="B76">
        <v>0</v>
      </c>
      <c r="C76" s="2">
        <v>0.14578443815223799</v>
      </c>
      <c r="D76" s="2">
        <v>0.85421556184776104</v>
      </c>
      <c r="E76">
        <v>1</v>
      </c>
      <c r="F76" s="7">
        <f>IF(AND(Table1[[#This Row],[Predicted Outcome]]=1,Table1[[#This Row],[Actual Outcome]]=1),1,0)</f>
        <v>0</v>
      </c>
      <c r="G76" cm="1">
        <f t="array" ref="G76">_xlfn.XLOOKUP(MAX(IF(Table2[Probability_Default]&lt;Table1[[#This Row],[Probability_Default]],Table2[Probability_Default])),Table2[Probability_Default],Table2[Decile],0)</f>
        <v>8</v>
      </c>
    </row>
    <row r="77" spans="1:7" x14ac:dyDescent="0.2">
      <c r="A77">
        <v>254</v>
      </c>
      <c r="B77">
        <v>1</v>
      </c>
      <c r="C77" s="2">
        <v>0.14627891227098699</v>
      </c>
      <c r="D77" s="2">
        <v>0.85372108772901201</v>
      </c>
      <c r="E77">
        <v>1</v>
      </c>
      <c r="F77" s="7">
        <f>IF(AND(Table1[[#This Row],[Predicted Outcome]]=1,Table1[[#This Row],[Actual Outcome]]=1),1,0)</f>
        <v>1</v>
      </c>
      <c r="G77" cm="1">
        <f t="array" ref="G77">_xlfn.XLOOKUP(MAX(IF(Table2[Probability_Default]&lt;Table1[[#This Row],[Probability_Default]],Table2[Probability_Default])),Table2[Probability_Default],Table2[Decile],0)</f>
        <v>8</v>
      </c>
    </row>
    <row r="78" spans="1:7" x14ac:dyDescent="0.2">
      <c r="A78">
        <v>290</v>
      </c>
      <c r="B78">
        <v>1</v>
      </c>
      <c r="C78" s="2">
        <v>0.148766680498265</v>
      </c>
      <c r="D78" s="2">
        <v>0.85123331950173398</v>
      </c>
      <c r="E78">
        <v>1</v>
      </c>
      <c r="F78" s="7">
        <f>IF(AND(Table1[[#This Row],[Predicted Outcome]]=1,Table1[[#This Row],[Actual Outcome]]=1),1,0)</f>
        <v>1</v>
      </c>
      <c r="G78" cm="1">
        <f t="array" ref="G78">_xlfn.XLOOKUP(MAX(IF(Table2[Probability_Default]&lt;Table1[[#This Row],[Probability_Default]],Table2[Probability_Default])),Table2[Probability_Default],Table2[Decile],0)</f>
        <v>8</v>
      </c>
    </row>
    <row r="79" spans="1:7" x14ac:dyDescent="0.2">
      <c r="A79">
        <v>201</v>
      </c>
      <c r="B79">
        <v>1</v>
      </c>
      <c r="C79" s="2">
        <v>0.149106990034095</v>
      </c>
      <c r="D79" s="2">
        <v>0.850893009965904</v>
      </c>
      <c r="E79">
        <v>1</v>
      </c>
      <c r="F79" s="7">
        <f>IF(AND(Table1[[#This Row],[Predicted Outcome]]=1,Table1[[#This Row],[Actual Outcome]]=1),1,0)</f>
        <v>1</v>
      </c>
      <c r="G79" cm="1">
        <f t="array" ref="G79">_xlfn.XLOOKUP(MAX(IF(Table2[Probability_Default]&lt;Table1[[#This Row],[Probability_Default]],Table2[Probability_Default])),Table2[Probability_Default],Table2[Decile],0)</f>
        <v>8</v>
      </c>
    </row>
    <row r="80" spans="1:7" x14ac:dyDescent="0.2">
      <c r="A80">
        <v>317</v>
      </c>
      <c r="B80">
        <v>1</v>
      </c>
      <c r="C80" s="2">
        <v>0.15182142614027</v>
      </c>
      <c r="D80" s="2">
        <v>0.84817857385972895</v>
      </c>
      <c r="E80">
        <v>1</v>
      </c>
      <c r="F80" s="7">
        <f>IF(AND(Table1[[#This Row],[Predicted Outcome]]=1,Table1[[#This Row],[Actual Outcome]]=1),1,0)</f>
        <v>1</v>
      </c>
      <c r="G80" cm="1">
        <f t="array" ref="G80">_xlfn.XLOOKUP(MAX(IF(Table2[Probability_Default]&lt;Table1[[#This Row],[Probability_Default]],Table2[Probability_Default])),Table2[Probability_Default],Table2[Decile],0)</f>
        <v>8</v>
      </c>
    </row>
    <row r="81" spans="1:7" x14ac:dyDescent="0.2">
      <c r="A81">
        <v>100</v>
      </c>
      <c r="B81">
        <v>1</v>
      </c>
      <c r="C81" s="2">
        <v>0.153928066967398</v>
      </c>
      <c r="D81" s="2">
        <v>0.84607193303260098</v>
      </c>
      <c r="E81">
        <v>1</v>
      </c>
      <c r="F81" s="7">
        <f>IF(AND(Table1[[#This Row],[Predicted Outcome]]=1,Table1[[#This Row],[Actual Outcome]]=1),1,0)</f>
        <v>1</v>
      </c>
      <c r="G81" cm="1">
        <f t="array" ref="G81">_xlfn.XLOOKUP(MAX(IF(Table2[Probability_Default]&lt;Table1[[#This Row],[Probability_Default]],Table2[Probability_Default])),Table2[Probability_Default],Table2[Decile],0)</f>
        <v>8</v>
      </c>
    </row>
    <row r="82" spans="1:7" x14ac:dyDescent="0.2">
      <c r="A82">
        <v>212</v>
      </c>
      <c r="B82">
        <v>1</v>
      </c>
      <c r="C82" s="2">
        <v>0.15468352469237001</v>
      </c>
      <c r="D82" s="2">
        <v>0.84531647530762899</v>
      </c>
      <c r="E82">
        <v>1</v>
      </c>
      <c r="F82" s="7">
        <f>IF(AND(Table1[[#This Row],[Predicted Outcome]]=1,Table1[[#This Row],[Actual Outcome]]=1),1,0)</f>
        <v>1</v>
      </c>
      <c r="G82" cm="1">
        <f t="array" ref="G82">_xlfn.XLOOKUP(MAX(IF(Table2[Probability_Default]&lt;Table1[[#This Row],[Probability_Default]],Table2[Probability_Default])),Table2[Probability_Default],Table2[Decile],0)</f>
        <v>7</v>
      </c>
    </row>
    <row r="83" spans="1:7" x14ac:dyDescent="0.2">
      <c r="A83">
        <v>197</v>
      </c>
      <c r="B83">
        <v>1</v>
      </c>
      <c r="C83" s="2">
        <v>0.155593233054059</v>
      </c>
      <c r="D83" s="2">
        <v>0.84440676694593997</v>
      </c>
      <c r="E83">
        <v>1</v>
      </c>
      <c r="F83" s="7">
        <f>IF(AND(Table1[[#This Row],[Predicted Outcome]]=1,Table1[[#This Row],[Actual Outcome]]=1),1,0)</f>
        <v>1</v>
      </c>
      <c r="G83" cm="1">
        <f t="array" ref="G83">_xlfn.XLOOKUP(MAX(IF(Table2[Probability_Default]&lt;Table1[[#This Row],[Probability_Default]],Table2[Probability_Default])),Table2[Probability_Default],Table2[Decile],0)</f>
        <v>7</v>
      </c>
    </row>
    <row r="84" spans="1:7" x14ac:dyDescent="0.2">
      <c r="A84">
        <v>148</v>
      </c>
      <c r="B84">
        <v>1</v>
      </c>
      <c r="C84" s="2">
        <v>0.15664168779430901</v>
      </c>
      <c r="D84" s="2">
        <v>0.84335831220569002</v>
      </c>
      <c r="E84">
        <v>1</v>
      </c>
      <c r="F84" s="7">
        <f>IF(AND(Table1[[#This Row],[Predicted Outcome]]=1,Table1[[#This Row],[Actual Outcome]]=1),1,0)</f>
        <v>1</v>
      </c>
      <c r="G84" cm="1">
        <f t="array" ref="G84">_xlfn.XLOOKUP(MAX(IF(Table2[Probability_Default]&lt;Table1[[#This Row],[Probability_Default]],Table2[Probability_Default])),Table2[Probability_Default],Table2[Decile],0)</f>
        <v>7</v>
      </c>
    </row>
    <row r="85" spans="1:7" x14ac:dyDescent="0.2">
      <c r="A85">
        <v>266</v>
      </c>
      <c r="B85">
        <v>1</v>
      </c>
      <c r="C85" s="2">
        <v>0.158637346655433</v>
      </c>
      <c r="D85" s="2">
        <v>0.84136265334456595</v>
      </c>
      <c r="E85">
        <v>1</v>
      </c>
      <c r="F85" s="7">
        <f>IF(AND(Table1[[#This Row],[Predicted Outcome]]=1,Table1[[#This Row],[Actual Outcome]]=1),1,0)</f>
        <v>1</v>
      </c>
      <c r="G85" cm="1">
        <f t="array" ref="G85">_xlfn.XLOOKUP(MAX(IF(Table2[Probability_Default]&lt;Table1[[#This Row],[Probability_Default]],Table2[Probability_Default])),Table2[Probability_Default],Table2[Decile],0)</f>
        <v>7</v>
      </c>
    </row>
    <row r="86" spans="1:7" x14ac:dyDescent="0.2">
      <c r="A86">
        <v>61</v>
      </c>
      <c r="B86">
        <v>1</v>
      </c>
      <c r="C86" s="2">
        <v>0.16126414372843301</v>
      </c>
      <c r="D86" s="2">
        <v>0.83873585627156699</v>
      </c>
      <c r="E86">
        <v>1</v>
      </c>
      <c r="F86" s="7">
        <f>IF(AND(Table1[[#This Row],[Predicted Outcome]]=1,Table1[[#This Row],[Actual Outcome]]=1),1,0)</f>
        <v>1</v>
      </c>
      <c r="G86" cm="1">
        <f t="array" ref="G86">_xlfn.XLOOKUP(MAX(IF(Table2[Probability_Default]&lt;Table1[[#This Row],[Probability_Default]],Table2[Probability_Default])),Table2[Probability_Default],Table2[Decile],0)</f>
        <v>7</v>
      </c>
    </row>
    <row r="87" spans="1:7" x14ac:dyDescent="0.2">
      <c r="A87">
        <v>192</v>
      </c>
      <c r="B87">
        <v>1</v>
      </c>
      <c r="C87" s="2">
        <v>0.16257984272083301</v>
      </c>
      <c r="D87" s="2">
        <v>0.83742015727916597</v>
      </c>
      <c r="E87">
        <v>1</v>
      </c>
      <c r="F87" s="7">
        <f>IF(AND(Table1[[#This Row],[Predicted Outcome]]=1,Table1[[#This Row],[Actual Outcome]]=1),1,0)</f>
        <v>1</v>
      </c>
      <c r="G87" cm="1">
        <f t="array" ref="G87">_xlfn.XLOOKUP(MAX(IF(Table2[Probability_Default]&lt;Table1[[#This Row],[Probability_Default]],Table2[Probability_Default])),Table2[Probability_Default],Table2[Decile],0)</f>
        <v>7</v>
      </c>
    </row>
    <row r="88" spans="1:7" x14ac:dyDescent="0.2">
      <c r="A88">
        <v>353</v>
      </c>
      <c r="B88">
        <v>0</v>
      </c>
      <c r="C88" s="2">
        <v>0.162758664718509</v>
      </c>
      <c r="D88" s="2">
        <v>0.83724133528149003</v>
      </c>
      <c r="E88">
        <v>1</v>
      </c>
      <c r="F88" s="7">
        <f>IF(AND(Table1[[#This Row],[Predicted Outcome]]=1,Table1[[#This Row],[Actual Outcome]]=1),1,0)</f>
        <v>0</v>
      </c>
      <c r="G88" cm="1">
        <f t="array" ref="G88">_xlfn.XLOOKUP(MAX(IF(Table2[Probability_Default]&lt;Table1[[#This Row],[Probability_Default]],Table2[Probability_Default])),Table2[Probability_Default],Table2[Decile],0)</f>
        <v>7</v>
      </c>
    </row>
    <row r="89" spans="1:7" x14ac:dyDescent="0.2">
      <c r="A89">
        <v>126</v>
      </c>
      <c r="B89">
        <v>1</v>
      </c>
      <c r="C89" s="2">
        <v>0.164858029819788</v>
      </c>
      <c r="D89" s="2">
        <v>0.83514197018021097</v>
      </c>
      <c r="E89">
        <v>1</v>
      </c>
      <c r="F89" s="7">
        <f>IF(AND(Table1[[#This Row],[Predicted Outcome]]=1,Table1[[#This Row],[Actual Outcome]]=1),1,0)</f>
        <v>1</v>
      </c>
      <c r="G89" cm="1">
        <f t="array" ref="G89">_xlfn.XLOOKUP(MAX(IF(Table2[Probability_Default]&lt;Table1[[#This Row],[Probability_Default]],Table2[Probability_Default])),Table2[Probability_Default],Table2[Decile],0)</f>
        <v>7</v>
      </c>
    </row>
    <row r="90" spans="1:7" x14ac:dyDescent="0.2">
      <c r="A90">
        <v>255</v>
      </c>
      <c r="B90">
        <v>1</v>
      </c>
      <c r="C90" s="2">
        <v>0.164910788500475</v>
      </c>
      <c r="D90" s="2">
        <v>0.83508921149952398</v>
      </c>
      <c r="E90">
        <v>1</v>
      </c>
      <c r="F90" s="7">
        <f>IF(AND(Table1[[#This Row],[Predicted Outcome]]=1,Table1[[#This Row],[Actual Outcome]]=1),1,0)</f>
        <v>1</v>
      </c>
      <c r="G90" cm="1">
        <f t="array" ref="G90">_xlfn.XLOOKUP(MAX(IF(Table2[Probability_Default]&lt;Table1[[#This Row],[Probability_Default]],Table2[Probability_Default])),Table2[Probability_Default],Table2[Decile],0)</f>
        <v>7</v>
      </c>
    </row>
    <row r="91" spans="1:7" x14ac:dyDescent="0.2">
      <c r="A91">
        <v>345</v>
      </c>
      <c r="B91">
        <v>1</v>
      </c>
      <c r="C91" s="2">
        <v>0.16639470142360299</v>
      </c>
      <c r="D91" s="2">
        <v>0.83360529857639598</v>
      </c>
      <c r="E91">
        <v>1</v>
      </c>
      <c r="F91" s="7">
        <f>IF(AND(Table1[[#This Row],[Predicted Outcome]]=1,Table1[[#This Row],[Actual Outcome]]=1),1,0)</f>
        <v>1</v>
      </c>
      <c r="G91" cm="1">
        <f t="array" ref="G91">_xlfn.XLOOKUP(MAX(IF(Table2[Probability_Default]&lt;Table1[[#This Row],[Probability_Default]],Table2[Probability_Default])),Table2[Probability_Default],Table2[Decile],0)</f>
        <v>7</v>
      </c>
    </row>
    <row r="92" spans="1:7" x14ac:dyDescent="0.2">
      <c r="A92">
        <v>84</v>
      </c>
      <c r="B92">
        <v>1</v>
      </c>
      <c r="C92" s="2">
        <v>0.16698835353001401</v>
      </c>
      <c r="D92" s="2">
        <v>0.83301164646998505</v>
      </c>
      <c r="E92">
        <v>1</v>
      </c>
      <c r="F92" s="7">
        <f>IF(AND(Table1[[#This Row],[Predicted Outcome]]=1,Table1[[#This Row],[Actual Outcome]]=1),1,0)</f>
        <v>1</v>
      </c>
      <c r="G92" cm="1">
        <f t="array" ref="G92">_xlfn.XLOOKUP(MAX(IF(Table2[Probability_Default]&lt;Table1[[#This Row],[Probability_Default]],Table2[Probability_Default])),Table2[Probability_Default],Table2[Decile],0)</f>
        <v>7</v>
      </c>
    </row>
    <row r="93" spans="1:7" x14ac:dyDescent="0.2">
      <c r="A93">
        <v>287</v>
      </c>
      <c r="B93">
        <v>1</v>
      </c>
      <c r="C93" s="2">
        <v>0.16712433999908299</v>
      </c>
      <c r="D93" s="2">
        <v>0.83287566000091595</v>
      </c>
      <c r="E93">
        <v>1</v>
      </c>
      <c r="F93" s="7">
        <f>IF(AND(Table1[[#This Row],[Predicted Outcome]]=1,Table1[[#This Row],[Actual Outcome]]=1),1,0)</f>
        <v>1</v>
      </c>
      <c r="G93" cm="1">
        <f t="array" ref="G93">_xlfn.XLOOKUP(MAX(IF(Table2[Probability_Default]&lt;Table1[[#This Row],[Probability_Default]],Table2[Probability_Default])),Table2[Probability_Default],Table2[Decile],0)</f>
        <v>7</v>
      </c>
    </row>
    <row r="94" spans="1:7" x14ac:dyDescent="0.2">
      <c r="A94">
        <v>25</v>
      </c>
      <c r="B94">
        <v>0</v>
      </c>
      <c r="C94" s="2">
        <v>0.16869384867392501</v>
      </c>
      <c r="D94" s="2">
        <v>0.83130615132607399</v>
      </c>
      <c r="E94">
        <v>1</v>
      </c>
      <c r="F94" s="7">
        <f>IF(AND(Table1[[#This Row],[Predicted Outcome]]=1,Table1[[#This Row],[Actual Outcome]]=1),1,0)</f>
        <v>0</v>
      </c>
      <c r="G94" cm="1">
        <f t="array" ref="G94">_xlfn.XLOOKUP(MAX(IF(Table2[Probability_Default]&lt;Table1[[#This Row],[Probability_Default]],Table2[Probability_Default])),Table2[Probability_Default],Table2[Decile],0)</f>
        <v>7</v>
      </c>
    </row>
    <row r="95" spans="1:7" x14ac:dyDescent="0.2">
      <c r="A95">
        <v>332</v>
      </c>
      <c r="B95">
        <v>1</v>
      </c>
      <c r="C95" s="2">
        <v>0.16894138655559199</v>
      </c>
      <c r="D95" s="2">
        <v>0.83105861344440801</v>
      </c>
      <c r="E95">
        <v>1</v>
      </c>
      <c r="F95" s="7">
        <f>IF(AND(Table1[[#This Row],[Predicted Outcome]]=1,Table1[[#This Row],[Actual Outcome]]=1),1,0)</f>
        <v>1</v>
      </c>
      <c r="G95" cm="1">
        <f t="array" ref="G95">_xlfn.XLOOKUP(MAX(IF(Table2[Probability_Default]&lt;Table1[[#This Row],[Probability_Default]],Table2[Probability_Default])),Table2[Probability_Default],Table2[Decile],0)</f>
        <v>7</v>
      </c>
    </row>
    <row r="96" spans="1:7" x14ac:dyDescent="0.2">
      <c r="A96">
        <v>132</v>
      </c>
      <c r="B96">
        <v>1</v>
      </c>
      <c r="C96" s="2">
        <v>0.16978387567657399</v>
      </c>
      <c r="D96" s="2">
        <v>0.83021612432342495</v>
      </c>
      <c r="E96">
        <v>1</v>
      </c>
      <c r="F96" s="7">
        <f>IF(AND(Table1[[#This Row],[Predicted Outcome]]=1,Table1[[#This Row],[Actual Outcome]]=1),1,0)</f>
        <v>1</v>
      </c>
      <c r="G96" cm="1">
        <f t="array" ref="G96">_xlfn.XLOOKUP(MAX(IF(Table2[Probability_Default]&lt;Table1[[#This Row],[Probability_Default]],Table2[Probability_Default])),Table2[Probability_Default],Table2[Decile],0)</f>
        <v>7</v>
      </c>
    </row>
    <row r="97" spans="1:7" x14ac:dyDescent="0.2">
      <c r="A97">
        <v>14</v>
      </c>
      <c r="B97">
        <v>0</v>
      </c>
      <c r="C97" s="2">
        <v>0.17013659553534799</v>
      </c>
      <c r="D97" s="2">
        <v>0.82986340446465101</v>
      </c>
      <c r="E97">
        <v>1</v>
      </c>
      <c r="F97" s="7">
        <f>IF(AND(Table1[[#This Row],[Predicted Outcome]]=1,Table1[[#This Row],[Actual Outcome]]=1),1,0)</f>
        <v>0</v>
      </c>
      <c r="G97" cm="1">
        <f t="array" ref="G97">_xlfn.XLOOKUP(MAX(IF(Table2[Probability_Default]&lt;Table1[[#This Row],[Probability_Default]],Table2[Probability_Default])),Table2[Probability_Default],Table2[Decile],0)</f>
        <v>7</v>
      </c>
    </row>
    <row r="98" spans="1:7" x14ac:dyDescent="0.2">
      <c r="A98">
        <v>87</v>
      </c>
      <c r="B98">
        <v>1</v>
      </c>
      <c r="C98" s="2">
        <v>0.172363063204619</v>
      </c>
      <c r="D98" s="2">
        <v>0.82763693679538097</v>
      </c>
      <c r="E98">
        <v>1</v>
      </c>
      <c r="F98" s="7">
        <f>IF(AND(Table1[[#This Row],[Predicted Outcome]]=1,Table1[[#This Row],[Actual Outcome]]=1),1,0)</f>
        <v>1</v>
      </c>
      <c r="G98" cm="1">
        <f t="array" ref="G98">_xlfn.XLOOKUP(MAX(IF(Table2[Probability_Default]&lt;Table1[[#This Row],[Probability_Default]],Table2[Probability_Default])),Table2[Probability_Default],Table2[Decile],0)</f>
        <v>7</v>
      </c>
    </row>
    <row r="99" spans="1:7" x14ac:dyDescent="0.2">
      <c r="A99">
        <v>213</v>
      </c>
      <c r="B99">
        <v>1</v>
      </c>
      <c r="C99" s="2">
        <v>0.172493215668758</v>
      </c>
      <c r="D99" s="2">
        <v>0.82750678433124103</v>
      </c>
      <c r="E99">
        <v>1</v>
      </c>
      <c r="F99" s="7">
        <f>IF(AND(Table1[[#This Row],[Predicted Outcome]]=1,Table1[[#This Row],[Actual Outcome]]=1),1,0)</f>
        <v>1</v>
      </c>
      <c r="G99" cm="1">
        <f t="array" ref="G99">_xlfn.XLOOKUP(MAX(IF(Table2[Probability_Default]&lt;Table1[[#This Row],[Probability_Default]],Table2[Probability_Default])),Table2[Probability_Default],Table2[Decile],0)</f>
        <v>7</v>
      </c>
    </row>
    <row r="100" spans="1:7" x14ac:dyDescent="0.2">
      <c r="A100">
        <v>59</v>
      </c>
      <c r="B100">
        <v>1</v>
      </c>
      <c r="C100" s="2">
        <v>0.17295166446565099</v>
      </c>
      <c r="D100" s="2">
        <v>0.82704833553434798</v>
      </c>
      <c r="E100">
        <v>1</v>
      </c>
      <c r="F100" s="7">
        <f>IF(AND(Table1[[#This Row],[Predicted Outcome]]=1,Table1[[#This Row],[Actual Outcome]]=1),1,0)</f>
        <v>1</v>
      </c>
      <c r="G100" cm="1">
        <f t="array" ref="G100">_xlfn.XLOOKUP(MAX(IF(Table2[Probability_Default]&lt;Table1[[#This Row],[Probability_Default]],Table2[Probability_Default])),Table2[Probability_Default],Table2[Decile],0)</f>
        <v>7</v>
      </c>
    </row>
    <row r="101" spans="1:7" x14ac:dyDescent="0.2">
      <c r="A101">
        <v>351</v>
      </c>
      <c r="B101">
        <v>1</v>
      </c>
      <c r="C101" s="2">
        <v>0.17484992424090801</v>
      </c>
      <c r="D101" s="2">
        <v>0.82515007575909105</v>
      </c>
      <c r="E101">
        <v>1</v>
      </c>
      <c r="F101" s="7">
        <f>IF(AND(Table1[[#This Row],[Predicted Outcome]]=1,Table1[[#This Row],[Actual Outcome]]=1),1,0)</f>
        <v>1</v>
      </c>
      <c r="G101" cm="1">
        <f t="array" ref="G101">_xlfn.XLOOKUP(MAX(IF(Table2[Probability_Default]&lt;Table1[[#This Row],[Probability_Default]],Table2[Probability_Default])),Table2[Probability_Default],Table2[Decile],0)</f>
        <v>7</v>
      </c>
    </row>
    <row r="102" spans="1:7" x14ac:dyDescent="0.2">
      <c r="A102">
        <v>187</v>
      </c>
      <c r="B102">
        <v>1</v>
      </c>
      <c r="C102" s="2">
        <v>0.17563520788711501</v>
      </c>
      <c r="D102" s="2">
        <v>0.82436479211288405</v>
      </c>
      <c r="E102">
        <v>1</v>
      </c>
      <c r="F102" s="7">
        <f>IF(AND(Table1[[#This Row],[Predicted Outcome]]=1,Table1[[#This Row],[Actual Outcome]]=1),1,0)</f>
        <v>1</v>
      </c>
      <c r="G102" cm="1">
        <f t="array" ref="G102">_xlfn.XLOOKUP(MAX(IF(Table2[Probability_Default]&lt;Table1[[#This Row],[Probability_Default]],Table2[Probability_Default])),Table2[Probability_Default],Table2[Decile],0)</f>
        <v>7</v>
      </c>
    </row>
    <row r="103" spans="1:7" x14ac:dyDescent="0.2">
      <c r="A103">
        <v>262</v>
      </c>
      <c r="B103">
        <v>0</v>
      </c>
      <c r="C103" s="2">
        <v>0.17624644158295</v>
      </c>
      <c r="D103" s="2">
        <v>0.823753558417049</v>
      </c>
      <c r="E103">
        <v>1</v>
      </c>
      <c r="F103" s="7">
        <f>IF(AND(Table1[[#This Row],[Predicted Outcome]]=1,Table1[[#This Row],[Actual Outcome]]=1),1,0)</f>
        <v>0</v>
      </c>
      <c r="G103" cm="1">
        <f t="array" ref="G103">_xlfn.XLOOKUP(MAX(IF(Table2[Probability_Default]&lt;Table1[[#This Row],[Probability_Default]],Table2[Probability_Default])),Table2[Probability_Default],Table2[Decile],0)</f>
        <v>7</v>
      </c>
    </row>
    <row r="104" spans="1:7" x14ac:dyDescent="0.2">
      <c r="A104">
        <v>306</v>
      </c>
      <c r="B104">
        <v>1</v>
      </c>
      <c r="C104" s="2">
        <v>0.17751077104589399</v>
      </c>
      <c r="D104" s="2">
        <v>0.82248922895410503</v>
      </c>
      <c r="E104">
        <v>1</v>
      </c>
      <c r="F104" s="7">
        <f>IF(AND(Table1[[#This Row],[Predicted Outcome]]=1,Table1[[#This Row],[Actual Outcome]]=1),1,0)</f>
        <v>1</v>
      </c>
      <c r="G104" cm="1">
        <f t="array" ref="G104">_xlfn.XLOOKUP(MAX(IF(Table2[Probability_Default]&lt;Table1[[#This Row],[Probability_Default]],Table2[Probability_Default])),Table2[Probability_Default],Table2[Decile],0)</f>
        <v>7</v>
      </c>
    </row>
    <row r="105" spans="1:7" x14ac:dyDescent="0.2">
      <c r="A105">
        <v>71</v>
      </c>
      <c r="B105">
        <v>1</v>
      </c>
      <c r="C105" s="2">
        <v>0.17775590926644699</v>
      </c>
      <c r="D105" s="2">
        <v>0.82224409073355298</v>
      </c>
      <c r="E105">
        <v>1</v>
      </c>
      <c r="F105" s="7">
        <f>IF(AND(Table1[[#This Row],[Predicted Outcome]]=1,Table1[[#This Row],[Actual Outcome]]=1),1,0)</f>
        <v>1</v>
      </c>
      <c r="G105" cm="1">
        <f t="array" ref="G105">_xlfn.XLOOKUP(MAX(IF(Table2[Probability_Default]&lt;Table1[[#This Row],[Probability_Default]],Table2[Probability_Default])),Table2[Probability_Default],Table2[Decile],0)</f>
        <v>7</v>
      </c>
    </row>
    <row r="106" spans="1:7" x14ac:dyDescent="0.2">
      <c r="A106">
        <v>116</v>
      </c>
      <c r="B106">
        <v>1</v>
      </c>
      <c r="C106" s="2">
        <v>0.182977159439841</v>
      </c>
      <c r="D106" s="2">
        <v>0.81702284056015795</v>
      </c>
      <c r="E106">
        <v>1</v>
      </c>
      <c r="F106" s="7">
        <f>IF(AND(Table1[[#This Row],[Predicted Outcome]]=1,Table1[[#This Row],[Actual Outcome]]=1),1,0)</f>
        <v>1</v>
      </c>
      <c r="G106" cm="1">
        <f t="array" ref="G106">_xlfn.XLOOKUP(MAX(IF(Table2[Probability_Default]&lt;Table1[[#This Row],[Probability_Default]],Table2[Probability_Default])),Table2[Probability_Default],Table2[Decile],0)</f>
        <v>7</v>
      </c>
    </row>
    <row r="107" spans="1:7" x14ac:dyDescent="0.2">
      <c r="A107">
        <v>238</v>
      </c>
      <c r="B107">
        <v>1</v>
      </c>
      <c r="C107" s="2">
        <v>0.18479289542483801</v>
      </c>
      <c r="D107" s="2">
        <v>0.81520710457516199</v>
      </c>
      <c r="E107">
        <v>1</v>
      </c>
      <c r="F107" s="7">
        <f>IF(AND(Table1[[#This Row],[Predicted Outcome]]=1,Table1[[#This Row],[Actual Outcome]]=1),1,0)</f>
        <v>1</v>
      </c>
      <c r="G107" cm="1">
        <f t="array" ref="G107">_xlfn.XLOOKUP(MAX(IF(Table2[Probability_Default]&lt;Table1[[#This Row],[Probability_Default]],Table2[Probability_Default])),Table2[Probability_Default],Table2[Decile],0)</f>
        <v>7</v>
      </c>
    </row>
    <row r="108" spans="1:7" x14ac:dyDescent="0.2">
      <c r="A108">
        <v>369</v>
      </c>
      <c r="B108">
        <v>1</v>
      </c>
      <c r="C108" s="2">
        <v>0.18485029987608001</v>
      </c>
      <c r="D108" s="2">
        <v>0.81514970012391896</v>
      </c>
      <c r="E108">
        <v>1</v>
      </c>
      <c r="F108" s="7">
        <f>IF(AND(Table1[[#This Row],[Predicted Outcome]]=1,Table1[[#This Row],[Actual Outcome]]=1),1,0)</f>
        <v>1</v>
      </c>
      <c r="G108" cm="1">
        <f t="array" ref="G108">_xlfn.XLOOKUP(MAX(IF(Table2[Probability_Default]&lt;Table1[[#This Row],[Probability_Default]],Table2[Probability_Default])),Table2[Probability_Default],Table2[Decile],0)</f>
        <v>7</v>
      </c>
    </row>
    <row r="109" spans="1:7" x14ac:dyDescent="0.2">
      <c r="A109">
        <v>398</v>
      </c>
      <c r="B109">
        <v>1</v>
      </c>
      <c r="C109" s="2">
        <v>0.18539601473359399</v>
      </c>
      <c r="D109" s="2">
        <v>0.81460398526640498</v>
      </c>
      <c r="E109">
        <v>1</v>
      </c>
      <c r="F109" s="7">
        <f>IF(AND(Table1[[#This Row],[Predicted Outcome]]=1,Table1[[#This Row],[Actual Outcome]]=1),1,0)</f>
        <v>1</v>
      </c>
      <c r="G109" cm="1">
        <f t="array" ref="G109">_xlfn.XLOOKUP(MAX(IF(Table2[Probability_Default]&lt;Table1[[#This Row],[Probability_Default]],Table2[Probability_Default])),Table2[Probability_Default],Table2[Decile],0)</f>
        <v>7</v>
      </c>
    </row>
    <row r="110" spans="1:7" x14ac:dyDescent="0.2">
      <c r="A110">
        <v>50</v>
      </c>
      <c r="B110">
        <v>1</v>
      </c>
      <c r="C110" s="2">
        <v>0.186834984626019</v>
      </c>
      <c r="D110" s="2">
        <v>0.813165015373981</v>
      </c>
      <c r="E110">
        <v>1</v>
      </c>
      <c r="F110" s="7">
        <f>IF(AND(Table1[[#This Row],[Predicted Outcome]]=1,Table1[[#This Row],[Actual Outcome]]=1),1,0)</f>
        <v>1</v>
      </c>
      <c r="G110" cm="1">
        <f t="array" ref="G110">_xlfn.XLOOKUP(MAX(IF(Table2[Probability_Default]&lt;Table1[[#This Row],[Probability_Default]],Table2[Probability_Default])),Table2[Probability_Default],Table2[Decile],0)</f>
        <v>7</v>
      </c>
    </row>
    <row r="111" spans="1:7" x14ac:dyDescent="0.2">
      <c r="A111">
        <v>308</v>
      </c>
      <c r="B111">
        <v>0</v>
      </c>
      <c r="C111" s="2">
        <v>0.187990830009645</v>
      </c>
      <c r="D111" s="2">
        <v>0.812009169990354</v>
      </c>
      <c r="E111">
        <v>1</v>
      </c>
      <c r="F111" s="7">
        <f>IF(AND(Table1[[#This Row],[Predicted Outcome]]=1,Table1[[#This Row],[Actual Outcome]]=1),1,0)</f>
        <v>0</v>
      </c>
      <c r="G111" cm="1">
        <f t="array" ref="G111">_xlfn.XLOOKUP(MAX(IF(Table2[Probability_Default]&lt;Table1[[#This Row],[Probability_Default]],Table2[Probability_Default])),Table2[Probability_Default],Table2[Decile],0)</f>
        <v>7</v>
      </c>
    </row>
    <row r="112" spans="1:7" x14ac:dyDescent="0.2">
      <c r="A112">
        <v>35</v>
      </c>
      <c r="B112">
        <v>0</v>
      </c>
      <c r="C112" s="2">
        <v>0.18906972146261999</v>
      </c>
      <c r="D112" s="2">
        <v>0.81093027853737898</v>
      </c>
      <c r="E112">
        <v>1</v>
      </c>
      <c r="F112" s="7">
        <f>IF(AND(Table1[[#This Row],[Predicted Outcome]]=1,Table1[[#This Row],[Actual Outcome]]=1),1,0)</f>
        <v>0</v>
      </c>
      <c r="G112" cm="1">
        <f t="array" ref="G112">_xlfn.XLOOKUP(MAX(IF(Table2[Probability_Default]&lt;Table1[[#This Row],[Probability_Default]],Table2[Probability_Default])),Table2[Probability_Default],Table2[Decile],0)</f>
        <v>7</v>
      </c>
    </row>
    <row r="113" spans="1:7" x14ac:dyDescent="0.2">
      <c r="A113">
        <v>123</v>
      </c>
      <c r="B113">
        <v>1</v>
      </c>
      <c r="C113" s="2">
        <v>0.19250822863575001</v>
      </c>
      <c r="D113" s="2">
        <v>0.80749177136424899</v>
      </c>
      <c r="E113">
        <v>1</v>
      </c>
      <c r="F113" s="7">
        <f>IF(AND(Table1[[#This Row],[Predicted Outcome]]=1,Table1[[#This Row],[Actual Outcome]]=1),1,0)</f>
        <v>1</v>
      </c>
      <c r="G113" cm="1">
        <f t="array" ref="G113">_xlfn.XLOOKUP(MAX(IF(Table2[Probability_Default]&lt;Table1[[#This Row],[Probability_Default]],Table2[Probability_Default])),Table2[Probability_Default],Table2[Decile],0)</f>
        <v>7</v>
      </c>
    </row>
    <row r="114" spans="1:7" x14ac:dyDescent="0.2">
      <c r="A114">
        <v>324</v>
      </c>
      <c r="B114">
        <v>1</v>
      </c>
      <c r="C114" s="2">
        <v>0.192981801475509</v>
      </c>
      <c r="D114" s="2">
        <v>0.80701819852448997</v>
      </c>
      <c r="E114">
        <v>1</v>
      </c>
      <c r="F114" s="7">
        <f>IF(AND(Table1[[#This Row],[Predicted Outcome]]=1,Table1[[#This Row],[Actual Outcome]]=1),1,0)</f>
        <v>1</v>
      </c>
      <c r="G114" cm="1">
        <f t="array" ref="G114">_xlfn.XLOOKUP(MAX(IF(Table2[Probability_Default]&lt;Table1[[#This Row],[Probability_Default]],Table2[Probability_Default])),Table2[Probability_Default],Table2[Decile],0)</f>
        <v>7</v>
      </c>
    </row>
    <row r="115" spans="1:7" x14ac:dyDescent="0.2">
      <c r="A115">
        <v>393</v>
      </c>
      <c r="B115">
        <v>1</v>
      </c>
      <c r="C115" s="2">
        <v>0.196165976432077</v>
      </c>
      <c r="D115" s="2">
        <v>0.803834023567922</v>
      </c>
      <c r="E115">
        <v>1</v>
      </c>
      <c r="F115" s="7">
        <f>IF(AND(Table1[[#This Row],[Predicted Outcome]]=1,Table1[[#This Row],[Actual Outcome]]=1),1,0)</f>
        <v>1</v>
      </c>
      <c r="G115" cm="1">
        <f t="array" ref="G115">_xlfn.XLOOKUP(MAX(IF(Table2[Probability_Default]&lt;Table1[[#This Row],[Probability_Default]],Table2[Probability_Default])),Table2[Probability_Default],Table2[Decile],0)</f>
        <v>7</v>
      </c>
    </row>
    <row r="116" spans="1:7" x14ac:dyDescent="0.2">
      <c r="A116">
        <v>72</v>
      </c>
      <c r="B116">
        <v>1</v>
      </c>
      <c r="C116" s="2">
        <v>0.196580855402927</v>
      </c>
      <c r="D116" s="2">
        <v>0.80341914459707198</v>
      </c>
      <c r="E116">
        <v>1</v>
      </c>
      <c r="F116" s="7">
        <f>IF(AND(Table1[[#This Row],[Predicted Outcome]]=1,Table1[[#This Row],[Actual Outcome]]=1),1,0)</f>
        <v>1</v>
      </c>
      <c r="G116" cm="1">
        <f t="array" ref="G116">_xlfn.XLOOKUP(MAX(IF(Table2[Probability_Default]&lt;Table1[[#This Row],[Probability_Default]],Table2[Probability_Default])),Table2[Probability_Default],Table2[Decile],0)</f>
        <v>7</v>
      </c>
    </row>
    <row r="117" spans="1:7" x14ac:dyDescent="0.2">
      <c r="A117">
        <v>101</v>
      </c>
      <c r="B117">
        <v>1</v>
      </c>
      <c r="C117" s="2">
        <v>0.19860742269130699</v>
      </c>
      <c r="D117" s="2">
        <v>0.80139257730869196</v>
      </c>
      <c r="E117">
        <v>1</v>
      </c>
      <c r="F117" s="7">
        <f>IF(AND(Table1[[#This Row],[Predicted Outcome]]=1,Table1[[#This Row],[Actual Outcome]]=1),1,0)</f>
        <v>1</v>
      </c>
      <c r="G117" cm="1">
        <f t="array" ref="G117">_xlfn.XLOOKUP(MAX(IF(Table2[Probability_Default]&lt;Table1[[#This Row],[Probability_Default]],Table2[Probability_Default])),Table2[Probability_Default],Table2[Decile],0)</f>
        <v>7</v>
      </c>
    </row>
    <row r="118" spans="1:7" x14ac:dyDescent="0.2">
      <c r="A118">
        <v>321</v>
      </c>
      <c r="B118">
        <v>1</v>
      </c>
      <c r="C118" s="2">
        <v>0.20004736023532599</v>
      </c>
      <c r="D118" s="2">
        <v>0.79995263976467301</v>
      </c>
      <c r="E118">
        <v>1</v>
      </c>
      <c r="F118" s="7">
        <f>IF(AND(Table1[[#This Row],[Predicted Outcome]]=1,Table1[[#This Row],[Actual Outcome]]=1),1,0)</f>
        <v>1</v>
      </c>
      <c r="G118" cm="1">
        <f t="array" ref="G118">_xlfn.XLOOKUP(MAX(IF(Table2[Probability_Default]&lt;Table1[[#This Row],[Probability_Default]],Table2[Probability_Default])),Table2[Probability_Default],Table2[Decile],0)</f>
        <v>7</v>
      </c>
    </row>
    <row r="119" spans="1:7" x14ac:dyDescent="0.2">
      <c r="A119">
        <v>283</v>
      </c>
      <c r="B119">
        <v>0</v>
      </c>
      <c r="C119" s="2">
        <v>0.20026538233142899</v>
      </c>
      <c r="D119" s="2">
        <v>0.79973461766857001</v>
      </c>
      <c r="E119">
        <v>1</v>
      </c>
      <c r="F119" s="7">
        <f>IF(AND(Table1[[#This Row],[Predicted Outcome]]=1,Table1[[#This Row],[Actual Outcome]]=1),1,0)</f>
        <v>0</v>
      </c>
      <c r="G119" cm="1">
        <f t="array" ref="G119">_xlfn.XLOOKUP(MAX(IF(Table2[Probability_Default]&lt;Table1[[#This Row],[Probability_Default]],Table2[Probability_Default])),Table2[Probability_Default],Table2[Decile],0)</f>
        <v>7</v>
      </c>
    </row>
    <row r="120" spans="1:7" x14ac:dyDescent="0.2">
      <c r="A120">
        <v>70</v>
      </c>
      <c r="B120">
        <v>1</v>
      </c>
      <c r="C120" s="2">
        <v>0.20754281370403799</v>
      </c>
      <c r="D120" s="2">
        <v>0.79245718629596096</v>
      </c>
      <c r="E120">
        <v>1</v>
      </c>
      <c r="F120" s="7">
        <f>IF(AND(Table1[[#This Row],[Predicted Outcome]]=1,Table1[[#This Row],[Actual Outcome]]=1),1,0)</f>
        <v>1</v>
      </c>
      <c r="G120" cm="1">
        <f t="array" ref="G120">_xlfn.XLOOKUP(MAX(IF(Table2[Probability_Default]&lt;Table1[[#This Row],[Probability_Default]],Table2[Probability_Default])),Table2[Probability_Default],Table2[Decile],0)</f>
        <v>7</v>
      </c>
    </row>
    <row r="121" spans="1:7" x14ac:dyDescent="0.2">
      <c r="A121">
        <v>250</v>
      </c>
      <c r="B121">
        <v>1</v>
      </c>
      <c r="C121" s="2">
        <v>0.209999852324256</v>
      </c>
      <c r="D121" s="2">
        <v>0.790000147675743</v>
      </c>
      <c r="E121">
        <v>1</v>
      </c>
      <c r="F121" s="7">
        <f>IF(AND(Table1[[#This Row],[Predicted Outcome]]=1,Table1[[#This Row],[Actual Outcome]]=1),1,0)</f>
        <v>1</v>
      </c>
      <c r="G121" cm="1">
        <f t="array" ref="G121">_xlfn.XLOOKUP(MAX(IF(Table2[Probability_Default]&lt;Table1[[#This Row],[Probability_Default]],Table2[Probability_Default])),Table2[Probability_Default],Table2[Decile],0)</f>
        <v>7</v>
      </c>
    </row>
    <row r="122" spans="1:7" x14ac:dyDescent="0.2">
      <c r="A122">
        <v>80</v>
      </c>
      <c r="B122">
        <v>1</v>
      </c>
      <c r="C122" s="2">
        <v>0.21123644945783099</v>
      </c>
      <c r="D122" s="2">
        <v>0.78876355054216796</v>
      </c>
      <c r="E122">
        <v>1</v>
      </c>
      <c r="F122" s="7">
        <f>IF(AND(Table1[[#This Row],[Predicted Outcome]]=1,Table1[[#This Row],[Actual Outcome]]=1),1,0)</f>
        <v>1</v>
      </c>
      <c r="G122" cm="1">
        <f t="array" ref="G122">_xlfn.XLOOKUP(MAX(IF(Table2[Probability_Default]&lt;Table1[[#This Row],[Probability_Default]],Table2[Probability_Default])),Table2[Probability_Default],Table2[Decile],0)</f>
        <v>6</v>
      </c>
    </row>
    <row r="123" spans="1:7" x14ac:dyDescent="0.2">
      <c r="A123">
        <v>391</v>
      </c>
      <c r="B123">
        <v>0</v>
      </c>
      <c r="C123" s="2">
        <v>0.213201578455189</v>
      </c>
      <c r="D123" s="2">
        <v>0.78679842154480994</v>
      </c>
      <c r="E123">
        <v>1</v>
      </c>
      <c r="F123" s="7">
        <f>IF(AND(Table1[[#This Row],[Predicted Outcome]]=1,Table1[[#This Row],[Actual Outcome]]=1),1,0)</f>
        <v>0</v>
      </c>
      <c r="G123" cm="1">
        <f t="array" ref="G123">_xlfn.XLOOKUP(MAX(IF(Table2[Probability_Default]&lt;Table1[[#This Row],[Probability_Default]],Table2[Probability_Default])),Table2[Probability_Default],Table2[Decile],0)</f>
        <v>6</v>
      </c>
    </row>
    <row r="124" spans="1:7" x14ac:dyDescent="0.2">
      <c r="A124">
        <v>349</v>
      </c>
      <c r="B124">
        <v>1</v>
      </c>
      <c r="C124" s="2">
        <v>0.21418280292561201</v>
      </c>
      <c r="D124" s="2">
        <v>0.78581719707438702</v>
      </c>
      <c r="E124">
        <v>1</v>
      </c>
      <c r="F124" s="7">
        <f>IF(AND(Table1[[#This Row],[Predicted Outcome]]=1,Table1[[#This Row],[Actual Outcome]]=1),1,0)</f>
        <v>1</v>
      </c>
      <c r="G124" cm="1">
        <f t="array" ref="G124">_xlfn.XLOOKUP(MAX(IF(Table2[Probability_Default]&lt;Table1[[#This Row],[Probability_Default]],Table2[Probability_Default])),Table2[Probability_Default],Table2[Decile],0)</f>
        <v>6</v>
      </c>
    </row>
    <row r="125" spans="1:7" x14ac:dyDescent="0.2">
      <c r="A125">
        <v>362</v>
      </c>
      <c r="B125">
        <v>1</v>
      </c>
      <c r="C125" s="2">
        <v>0.21564774482812299</v>
      </c>
      <c r="D125" s="2">
        <v>0.78435225517187601</v>
      </c>
      <c r="E125">
        <v>1</v>
      </c>
      <c r="F125" s="7">
        <f>IF(AND(Table1[[#This Row],[Predicted Outcome]]=1,Table1[[#This Row],[Actual Outcome]]=1),1,0)</f>
        <v>1</v>
      </c>
      <c r="G125" cm="1">
        <f t="array" ref="G125">_xlfn.XLOOKUP(MAX(IF(Table2[Probability_Default]&lt;Table1[[#This Row],[Probability_Default]],Table2[Probability_Default])),Table2[Probability_Default],Table2[Decile],0)</f>
        <v>6</v>
      </c>
    </row>
    <row r="126" spans="1:7" x14ac:dyDescent="0.2">
      <c r="A126">
        <v>95</v>
      </c>
      <c r="B126">
        <v>1</v>
      </c>
      <c r="C126" s="2">
        <v>0.21634993691925999</v>
      </c>
      <c r="D126" s="2">
        <v>0.78365006308073903</v>
      </c>
      <c r="E126">
        <v>1</v>
      </c>
      <c r="F126" s="7">
        <f>IF(AND(Table1[[#This Row],[Predicted Outcome]]=1,Table1[[#This Row],[Actual Outcome]]=1),1,0)</f>
        <v>1</v>
      </c>
      <c r="G126" cm="1">
        <f t="array" ref="G126">_xlfn.XLOOKUP(MAX(IF(Table2[Probability_Default]&lt;Table1[[#This Row],[Probability_Default]],Table2[Probability_Default])),Table2[Probability_Default],Table2[Decile],0)</f>
        <v>6</v>
      </c>
    </row>
    <row r="127" spans="1:7" x14ac:dyDescent="0.2">
      <c r="A127">
        <v>314</v>
      </c>
      <c r="B127">
        <v>1</v>
      </c>
      <c r="C127" s="2">
        <v>0.21638057887512099</v>
      </c>
      <c r="D127" s="2">
        <v>0.78361942112487804</v>
      </c>
      <c r="E127">
        <v>1</v>
      </c>
      <c r="F127" s="7">
        <f>IF(AND(Table1[[#This Row],[Predicted Outcome]]=1,Table1[[#This Row],[Actual Outcome]]=1),1,0)</f>
        <v>1</v>
      </c>
      <c r="G127" cm="1">
        <f t="array" ref="G127">_xlfn.XLOOKUP(MAX(IF(Table2[Probability_Default]&lt;Table1[[#This Row],[Probability_Default]],Table2[Probability_Default])),Table2[Probability_Default],Table2[Decile],0)</f>
        <v>6</v>
      </c>
    </row>
    <row r="128" spans="1:7" x14ac:dyDescent="0.2">
      <c r="A128">
        <v>17</v>
      </c>
      <c r="B128">
        <v>1</v>
      </c>
      <c r="C128" s="2">
        <v>0.218847660579087</v>
      </c>
      <c r="D128" s="2">
        <v>0.781152339420912</v>
      </c>
      <c r="E128">
        <v>1</v>
      </c>
      <c r="F128" s="7">
        <f>IF(AND(Table1[[#This Row],[Predicted Outcome]]=1,Table1[[#This Row],[Actual Outcome]]=1),1,0)</f>
        <v>1</v>
      </c>
      <c r="G128" cm="1">
        <f t="array" ref="G128">_xlfn.XLOOKUP(MAX(IF(Table2[Probability_Default]&lt;Table1[[#This Row],[Probability_Default]],Table2[Probability_Default])),Table2[Probability_Default],Table2[Decile],0)</f>
        <v>6</v>
      </c>
    </row>
    <row r="129" spans="1:7" x14ac:dyDescent="0.2">
      <c r="A129">
        <v>167</v>
      </c>
      <c r="B129">
        <v>1</v>
      </c>
      <c r="C129" s="2">
        <v>0.21891851682114299</v>
      </c>
      <c r="D129" s="2">
        <v>0.78108148317885595</v>
      </c>
      <c r="E129">
        <v>1</v>
      </c>
      <c r="F129" s="7">
        <f>IF(AND(Table1[[#This Row],[Predicted Outcome]]=1,Table1[[#This Row],[Actual Outcome]]=1),1,0)</f>
        <v>1</v>
      </c>
      <c r="G129" cm="1">
        <f t="array" ref="G129">_xlfn.XLOOKUP(MAX(IF(Table2[Probability_Default]&lt;Table1[[#This Row],[Probability_Default]],Table2[Probability_Default])),Table2[Probability_Default],Table2[Decile],0)</f>
        <v>6</v>
      </c>
    </row>
    <row r="130" spans="1:7" x14ac:dyDescent="0.2">
      <c r="A130">
        <v>107</v>
      </c>
      <c r="B130">
        <v>1</v>
      </c>
      <c r="C130" s="2">
        <v>0.21920465098860301</v>
      </c>
      <c r="D130" s="2">
        <v>0.78079534901139602</v>
      </c>
      <c r="E130">
        <v>1</v>
      </c>
      <c r="F130" s="7">
        <f>IF(AND(Table1[[#This Row],[Predicted Outcome]]=1,Table1[[#This Row],[Actual Outcome]]=1),1,0)</f>
        <v>1</v>
      </c>
      <c r="G130" cm="1">
        <f t="array" ref="G130">_xlfn.XLOOKUP(MAX(IF(Table2[Probability_Default]&lt;Table1[[#This Row],[Probability_Default]],Table2[Probability_Default])),Table2[Probability_Default],Table2[Decile],0)</f>
        <v>6</v>
      </c>
    </row>
    <row r="131" spans="1:7" x14ac:dyDescent="0.2">
      <c r="A131">
        <v>278</v>
      </c>
      <c r="B131">
        <v>1</v>
      </c>
      <c r="C131" s="2">
        <v>0.221082797625095</v>
      </c>
      <c r="D131" s="2">
        <v>0.77891720237490403</v>
      </c>
      <c r="E131">
        <v>1</v>
      </c>
      <c r="F131" s="7">
        <f>IF(AND(Table1[[#This Row],[Predicted Outcome]]=1,Table1[[#This Row],[Actual Outcome]]=1),1,0)</f>
        <v>1</v>
      </c>
      <c r="G131" cm="1">
        <f t="array" ref="G131">_xlfn.XLOOKUP(MAX(IF(Table2[Probability_Default]&lt;Table1[[#This Row],[Probability_Default]],Table2[Probability_Default])),Table2[Probability_Default],Table2[Decile],0)</f>
        <v>6</v>
      </c>
    </row>
    <row r="132" spans="1:7" x14ac:dyDescent="0.2">
      <c r="A132">
        <v>380</v>
      </c>
      <c r="B132">
        <v>1</v>
      </c>
      <c r="C132" s="2">
        <v>0.221651020308201</v>
      </c>
      <c r="D132" s="2">
        <v>0.77834897969179895</v>
      </c>
      <c r="E132">
        <v>1</v>
      </c>
      <c r="F132" s="7">
        <f>IF(AND(Table1[[#This Row],[Predicted Outcome]]=1,Table1[[#This Row],[Actual Outcome]]=1),1,0)</f>
        <v>1</v>
      </c>
      <c r="G132" cm="1">
        <f t="array" ref="G132">_xlfn.XLOOKUP(MAX(IF(Table2[Probability_Default]&lt;Table1[[#This Row],[Probability_Default]],Table2[Probability_Default])),Table2[Probability_Default],Table2[Decile],0)</f>
        <v>6</v>
      </c>
    </row>
    <row r="133" spans="1:7" x14ac:dyDescent="0.2">
      <c r="A133">
        <v>270</v>
      </c>
      <c r="B133">
        <v>1</v>
      </c>
      <c r="C133" s="2">
        <v>0.222126658861098</v>
      </c>
      <c r="D133" s="2">
        <v>0.77787334113890105</v>
      </c>
      <c r="E133">
        <v>1</v>
      </c>
      <c r="F133" s="7">
        <f>IF(AND(Table1[[#This Row],[Predicted Outcome]]=1,Table1[[#This Row],[Actual Outcome]]=1),1,0)</f>
        <v>1</v>
      </c>
      <c r="G133" cm="1">
        <f t="array" ref="G133">_xlfn.XLOOKUP(MAX(IF(Table2[Probability_Default]&lt;Table1[[#This Row],[Probability_Default]],Table2[Probability_Default])),Table2[Probability_Default],Table2[Decile],0)</f>
        <v>6</v>
      </c>
    </row>
    <row r="134" spans="1:7" x14ac:dyDescent="0.2">
      <c r="A134">
        <v>292</v>
      </c>
      <c r="B134">
        <v>1</v>
      </c>
      <c r="C134" s="2">
        <v>0.226095186262498</v>
      </c>
      <c r="D134" s="2">
        <v>0.77390481373750097</v>
      </c>
      <c r="E134">
        <v>1</v>
      </c>
      <c r="F134" s="7">
        <f>IF(AND(Table1[[#This Row],[Predicted Outcome]]=1,Table1[[#This Row],[Actual Outcome]]=1),1,0)</f>
        <v>1</v>
      </c>
      <c r="G134" cm="1">
        <f t="array" ref="G134">_xlfn.XLOOKUP(MAX(IF(Table2[Probability_Default]&lt;Table1[[#This Row],[Probability_Default]],Table2[Probability_Default])),Table2[Probability_Default],Table2[Decile],0)</f>
        <v>6</v>
      </c>
    </row>
    <row r="135" spans="1:7" x14ac:dyDescent="0.2">
      <c r="A135">
        <v>301</v>
      </c>
      <c r="B135">
        <v>1</v>
      </c>
      <c r="C135" s="2">
        <v>0.228181169590225</v>
      </c>
      <c r="D135" s="2">
        <v>0.77181883040977395</v>
      </c>
      <c r="E135">
        <v>1</v>
      </c>
      <c r="F135" s="7">
        <f>IF(AND(Table1[[#This Row],[Predicted Outcome]]=1,Table1[[#This Row],[Actual Outcome]]=1),1,0)</f>
        <v>1</v>
      </c>
      <c r="G135" cm="1">
        <f t="array" ref="G135">_xlfn.XLOOKUP(MAX(IF(Table2[Probability_Default]&lt;Table1[[#This Row],[Probability_Default]],Table2[Probability_Default])),Table2[Probability_Default],Table2[Decile],0)</f>
        <v>6</v>
      </c>
    </row>
    <row r="136" spans="1:7" x14ac:dyDescent="0.2">
      <c r="A136">
        <v>302</v>
      </c>
      <c r="B136">
        <v>1</v>
      </c>
      <c r="C136" s="2">
        <v>0.228282541273229</v>
      </c>
      <c r="D136" s="2">
        <v>0.77171745872677</v>
      </c>
      <c r="E136">
        <v>1</v>
      </c>
      <c r="F136" s="7">
        <f>IF(AND(Table1[[#This Row],[Predicted Outcome]]=1,Table1[[#This Row],[Actual Outcome]]=1),1,0)</f>
        <v>1</v>
      </c>
      <c r="G136" cm="1">
        <f t="array" ref="G136">_xlfn.XLOOKUP(MAX(IF(Table2[Probability_Default]&lt;Table1[[#This Row],[Probability_Default]],Table2[Probability_Default])),Table2[Probability_Default],Table2[Decile],0)</f>
        <v>6</v>
      </c>
    </row>
    <row r="137" spans="1:7" x14ac:dyDescent="0.2">
      <c r="A137">
        <v>218</v>
      </c>
      <c r="B137">
        <v>0</v>
      </c>
      <c r="C137" s="2">
        <v>0.229074471093861</v>
      </c>
      <c r="D137" s="2">
        <v>0.77092552890613897</v>
      </c>
      <c r="E137">
        <v>1</v>
      </c>
      <c r="F137" s="7">
        <f>IF(AND(Table1[[#This Row],[Predicted Outcome]]=1,Table1[[#This Row],[Actual Outcome]]=1),1,0)</f>
        <v>0</v>
      </c>
      <c r="G137" cm="1">
        <f t="array" ref="G137">_xlfn.XLOOKUP(MAX(IF(Table2[Probability_Default]&lt;Table1[[#This Row],[Probability_Default]],Table2[Probability_Default])),Table2[Probability_Default],Table2[Decile],0)</f>
        <v>6</v>
      </c>
    </row>
    <row r="138" spans="1:7" x14ac:dyDescent="0.2">
      <c r="A138">
        <v>205</v>
      </c>
      <c r="B138">
        <v>0</v>
      </c>
      <c r="C138" s="2">
        <v>0.231983282287378</v>
      </c>
      <c r="D138" s="2">
        <v>0.76801671771262103</v>
      </c>
      <c r="E138">
        <v>1</v>
      </c>
      <c r="F138" s="7">
        <f>IF(AND(Table1[[#This Row],[Predicted Outcome]]=1,Table1[[#This Row],[Actual Outcome]]=1),1,0)</f>
        <v>0</v>
      </c>
      <c r="G138" cm="1">
        <f t="array" ref="G138">_xlfn.XLOOKUP(MAX(IF(Table2[Probability_Default]&lt;Table1[[#This Row],[Probability_Default]],Table2[Probability_Default])),Table2[Probability_Default],Table2[Decile],0)</f>
        <v>6</v>
      </c>
    </row>
    <row r="139" spans="1:7" x14ac:dyDescent="0.2">
      <c r="A139">
        <v>4</v>
      </c>
      <c r="B139">
        <v>1</v>
      </c>
      <c r="C139" s="2">
        <v>0.232119132161165</v>
      </c>
      <c r="D139" s="2">
        <v>0.76788086783883402</v>
      </c>
      <c r="E139">
        <v>1</v>
      </c>
      <c r="F139" s="7">
        <f>IF(AND(Table1[[#This Row],[Predicted Outcome]]=1,Table1[[#This Row],[Actual Outcome]]=1),1,0)</f>
        <v>1</v>
      </c>
      <c r="G139" cm="1">
        <f t="array" ref="G139">_xlfn.XLOOKUP(MAX(IF(Table2[Probability_Default]&lt;Table1[[#This Row],[Probability_Default]],Table2[Probability_Default])),Table2[Probability_Default],Table2[Decile],0)</f>
        <v>6</v>
      </c>
    </row>
    <row r="140" spans="1:7" x14ac:dyDescent="0.2">
      <c r="A140">
        <v>153</v>
      </c>
      <c r="B140">
        <v>1</v>
      </c>
      <c r="C140" s="2">
        <v>0.23337679864709401</v>
      </c>
      <c r="D140" s="2">
        <v>0.76662320135290596</v>
      </c>
      <c r="E140">
        <v>1</v>
      </c>
      <c r="F140" s="7">
        <f>IF(AND(Table1[[#This Row],[Predicted Outcome]]=1,Table1[[#This Row],[Actual Outcome]]=1),1,0)</f>
        <v>1</v>
      </c>
      <c r="G140" cm="1">
        <f t="array" ref="G140">_xlfn.XLOOKUP(MAX(IF(Table2[Probability_Default]&lt;Table1[[#This Row],[Probability_Default]],Table2[Probability_Default])),Table2[Probability_Default],Table2[Decile],0)</f>
        <v>6</v>
      </c>
    </row>
    <row r="141" spans="1:7" x14ac:dyDescent="0.2">
      <c r="A141">
        <v>310</v>
      </c>
      <c r="B141">
        <v>1</v>
      </c>
      <c r="C141" s="2">
        <v>0.234067189161943</v>
      </c>
      <c r="D141" s="2">
        <v>0.76593281083805598</v>
      </c>
      <c r="E141">
        <v>1</v>
      </c>
      <c r="F141" s="7">
        <f>IF(AND(Table1[[#This Row],[Predicted Outcome]]=1,Table1[[#This Row],[Actual Outcome]]=1),1,0)</f>
        <v>1</v>
      </c>
      <c r="G141" cm="1">
        <f t="array" ref="G141">_xlfn.XLOOKUP(MAX(IF(Table2[Probability_Default]&lt;Table1[[#This Row],[Probability_Default]],Table2[Probability_Default])),Table2[Probability_Default],Table2[Decile],0)</f>
        <v>6</v>
      </c>
    </row>
    <row r="142" spans="1:7" x14ac:dyDescent="0.2">
      <c r="A142">
        <v>183</v>
      </c>
      <c r="B142">
        <v>1</v>
      </c>
      <c r="C142" s="2">
        <v>0.23777838029922499</v>
      </c>
      <c r="D142" s="2">
        <v>0.76222161970077396</v>
      </c>
      <c r="E142">
        <v>1</v>
      </c>
      <c r="F142" s="7">
        <f>IF(AND(Table1[[#This Row],[Predicted Outcome]]=1,Table1[[#This Row],[Actual Outcome]]=1),1,0)</f>
        <v>1</v>
      </c>
      <c r="G142" cm="1">
        <f t="array" ref="G142">_xlfn.XLOOKUP(MAX(IF(Table2[Probability_Default]&lt;Table1[[#This Row],[Probability_Default]],Table2[Probability_Default])),Table2[Probability_Default],Table2[Decile],0)</f>
        <v>6</v>
      </c>
    </row>
    <row r="143" spans="1:7" x14ac:dyDescent="0.2">
      <c r="A143">
        <v>333</v>
      </c>
      <c r="B143">
        <v>1</v>
      </c>
      <c r="C143" s="2">
        <v>0.24004294574812199</v>
      </c>
      <c r="D143" s="2">
        <v>0.75995705425187798</v>
      </c>
      <c r="E143">
        <v>1</v>
      </c>
      <c r="F143" s="7">
        <f>IF(AND(Table1[[#This Row],[Predicted Outcome]]=1,Table1[[#This Row],[Actual Outcome]]=1),1,0)</f>
        <v>1</v>
      </c>
      <c r="G143" cm="1">
        <f t="array" ref="G143">_xlfn.XLOOKUP(MAX(IF(Table2[Probability_Default]&lt;Table1[[#This Row],[Probability_Default]],Table2[Probability_Default])),Table2[Probability_Default],Table2[Decile],0)</f>
        <v>6</v>
      </c>
    </row>
    <row r="144" spans="1:7" x14ac:dyDescent="0.2">
      <c r="A144">
        <v>113</v>
      </c>
      <c r="B144">
        <v>1</v>
      </c>
      <c r="C144" s="2">
        <v>0.241058229569376</v>
      </c>
      <c r="D144" s="2">
        <v>0.75894177043062305</v>
      </c>
      <c r="E144">
        <v>1</v>
      </c>
      <c r="F144" s="7">
        <f>IF(AND(Table1[[#This Row],[Predicted Outcome]]=1,Table1[[#This Row],[Actual Outcome]]=1),1,0)</f>
        <v>1</v>
      </c>
      <c r="G144" cm="1">
        <f t="array" ref="G144">_xlfn.XLOOKUP(MAX(IF(Table2[Probability_Default]&lt;Table1[[#This Row],[Probability_Default]],Table2[Probability_Default])),Table2[Probability_Default],Table2[Decile],0)</f>
        <v>6</v>
      </c>
    </row>
    <row r="145" spans="1:7" x14ac:dyDescent="0.2">
      <c r="A145">
        <v>172</v>
      </c>
      <c r="B145">
        <v>1</v>
      </c>
      <c r="C145" s="2">
        <v>0.242775916142313</v>
      </c>
      <c r="D145" s="2">
        <v>0.75722408385768603</v>
      </c>
      <c r="E145">
        <v>1</v>
      </c>
      <c r="F145" s="7">
        <f>IF(AND(Table1[[#This Row],[Predicted Outcome]]=1,Table1[[#This Row],[Actual Outcome]]=1),1,0)</f>
        <v>1</v>
      </c>
      <c r="G145" cm="1">
        <f t="array" ref="G145">_xlfn.XLOOKUP(MAX(IF(Table2[Probability_Default]&lt;Table1[[#This Row],[Probability_Default]],Table2[Probability_Default])),Table2[Probability_Default],Table2[Decile],0)</f>
        <v>6</v>
      </c>
    </row>
    <row r="146" spans="1:7" x14ac:dyDescent="0.2">
      <c r="A146">
        <v>241</v>
      </c>
      <c r="B146">
        <v>0</v>
      </c>
      <c r="C146" s="2">
        <v>0.24315245187682499</v>
      </c>
      <c r="D146" s="2">
        <v>0.75684754812317401</v>
      </c>
      <c r="E146">
        <v>1</v>
      </c>
      <c r="F146" s="7">
        <f>IF(AND(Table1[[#This Row],[Predicted Outcome]]=1,Table1[[#This Row],[Actual Outcome]]=1),1,0)</f>
        <v>0</v>
      </c>
      <c r="G146" cm="1">
        <f t="array" ref="G146">_xlfn.XLOOKUP(MAX(IF(Table2[Probability_Default]&lt;Table1[[#This Row],[Probability_Default]],Table2[Probability_Default])),Table2[Probability_Default],Table2[Decile],0)</f>
        <v>6</v>
      </c>
    </row>
    <row r="147" spans="1:7" x14ac:dyDescent="0.2">
      <c r="A147">
        <v>230</v>
      </c>
      <c r="B147">
        <v>1</v>
      </c>
      <c r="C147" s="2">
        <v>0.24505919629988099</v>
      </c>
      <c r="D147" s="2">
        <v>0.75494080370011796</v>
      </c>
      <c r="E147">
        <v>1</v>
      </c>
      <c r="F147" s="7">
        <f>IF(AND(Table1[[#This Row],[Predicted Outcome]]=1,Table1[[#This Row],[Actual Outcome]]=1),1,0)</f>
        <v>1</v>
      </c>
      <c r="G147" cm="1">
        <f t="array" ref="G147">_xlfn.XLOOKUP(MAX(IF(Table2[Probability_Default]&lt;Table1[[#This Row],[Probability_Default]],Table2[Probability_Default])),Table2[Probability_Default],Table2[Decile],0)</f>
        <v>6</v>
      </c>
    </row>
    <row r="148" spans="1:7" x14ac:dyDescent="0.2">
      <c r="A148">
        <v>89</v>
      </c>
      <c r="B148">
        <v>1</v>
      </c>
      <c r="C148" s="2">
        <v>0.245762787463981</v>
      </c>
      <c r="D148" s="2">
        <v>0.75423721253601805</v>
      </c>
      <c r="E148">
        <v>1</v>
      </c>
      <c r="F148" s="7">
        <f>IF(AND(Table1[[#This Row],[Predicted Outcome]]=1,Table1[[#This Row],[Actual Outcome]]=1),1,0)</f>
        <v>1</v>
      </c>
      <c r="G148" cm="1">
        <f t="array" ref="G148">_xlfn.XLOOKUP(MAX(IF(Table2[Probability_Default]&lt;Table1[[#This Row],[Probability_Default]],Table2[Probability_Default])),Table2[Probability_Default],Table2[Decile],0)</f>
        <v>6</v>
      </c>
    </row>
    <row r="149" spans="1:7" x14ac:dyDescent="0.2">
      <c r="A149">
        <v>228</v>
      </c>
      <c r="B149">
        <v>1</v>
      </c>
      <c r="C149" s="2">
        <v>0.24688002564640901</v>
      </c>
      <c r="D149" s="2">
        <v>0.75311997435359002</v>
      </c>
      <c r="E149">
        <v>1</v>
      </c>
      <c r="F149" s="7">
        <f>IF(AND(Table1[[#This Row],[Predicted Outcome]]=1,Table1[[#This Row],[Actual Outcome]]=1),1,0)</f>
        <v>1</v>
      </c>
      <c r="G149" cm="1">
        <f t="array" ref="G149">_xlfn.XLOOKUP(MAX(IF(Table2[Probability_Default]&lt;Table1[[#This Row],[Probability_Default]],Table2[Probability_Default])),Table2[Probability_Default],Table2[Decile],0)</f>
        <v>6</v>
      </c>
    </row>
    <row r="150" spans="1:7" x14ac:dyDescent="0.2">
      <c r="A150">
        <v>335</v>
      </c>
      <c r="B150">
        <v>0</v>
      </c>
      <c r="C150" s="2">
        <v>0.24738606058746601</v>
      </c>
      <c r="D150" s="2">
        <v>0.75261393941253296</v>
      </c>
      <c r="E150">
        <v>1</v>
      </c>
      <c r="F150" s="7">
        <f>IF(AND(Table1[[#This Row],[Predicted Outcome]]=1,Table1[[#This Row],[Actual Outcome]]=1),1,0)</f>
        <v>0</v>
      </c>
      <c r="G150" cm="1">
        <f t="array" ref="G150">_xlfn.XLOOKUP(MAX(IF(Table2[Probability_Default]&lt;Table1[[#This Row],[Probability_Default]],Table2[Probability_Default])),Table2[Probability_Default],Table2[Decile],0)</f>
        <v>6</v>
      </c>
    </row>
    <row r="151" spans="1:7" x14ac:dyDescent="0.2">
      <c r="A151">
        <v>244</v>
      </c>
      <c r="B151">
        <v>0</v>
      </c>
      <c r="C151" s="2">
        <v>0.24920147230790801</v>
      </c>
      <c r="D151" s="2">
        <v>0.75079852769209099</v>
      </c>
      <c r="E151">
        <v>1</v>
      </c>
      <c r="F151" s="7">
        <f>IF(AND(Table1[[#This Row],[Predicted Outcome]]=1,Table1[[#This Row],[Actual Outcome]]=1),1,0)</f>
        <v>0</v>
      </c>
      <c r="G151" cm="1">
        <f t="array" ref="G151">_xlfn.XLOOKUP(MAX(IF(Table2[Probability_Default]&lt;Table1[[#This Row],[Probability_Default]],Table2[Probability_Default])),Table2[Probability_Default],Table2[Decile],0)</f>
        <v>6</v>
      </c>
    </row>
    <row r="152" spans="1:7" x14ac:dyDescent="0.2">
      <c r="A152">
        <v>303</v>
      </c>
      <c r="B152">
        <v>1</v>
      </c>
      <c r="C152" s="2">
        <v>0.25084564556503902</v>
      </c>
      <c r="D152" s="2">
        <v>0.74915435443496003</v>
      </c>
      <c r="E152">
        <v>1</v>
      </c>
      <c r="F152" s="7">
        <f>IF(AND(Table1[[#This Row],[Predicted Outcome]]=1,Table1[[#This Row],[Actual Outcome]]=1),1,0)</f>
        <v>1</v>
      </c>
      <c r="G152" cm="1">
        <f t="array" ref="G152">_xlfn.XLOOKUP(MAX(IF(Table2[Probability_Default]&lt;Table1[[#This Row],[Probability_Default]],Table2[Probability_Default])),Table2[Probability_Default],Table2[Decile],0)</f>
        <v>6</v>
      </c>
    </row>
    <row r="153" spans="1:7" x14ac:dyDescent="0.2">
      <c r="A153">
        <v>99</v>
      </c>
      <c r="B153">
        <v>0</v>
      </c>
      <c r="C153" s="2">
        <v>0.251155272837155</v>
      </c>
      <c r="D153" s="2">
        <v>0.748844727162844</v>
      </c>
      <c r="E153">
        <v>1</v>
      </c>
      <c r="F153" s="7">
        <f>IF(AND(Table1[[#This Row],[Predicted Outcome]]=1,Table1[[#This Row],[Actual Outcome]]=1),1,0)</f>
        <v>0</v>
      </c>
      <c r="G153" cm="1">
        <f t="array" ref="G153">_xlfn.XLOOKUP(MAX(IF(Table2[Probability_Default]&lt;Table1[[#This Row],[Probability_Default]],Table2[Probability_Default])),Table2[Probability_Default],Table2[Decile],0)</f>
        <v>6</v>
      </c>
    </row>
    <row r="154" spans="1:7" x14ac:dyDescent="0.2">
      <c r="A154">
        <v>240</v>
      </c>
      <c r="B154">
        <v>1</v>
      </c>
      <c r="C154" s="2">
        <v>0.25358619599469401</v>
      </c>
      <c r="D154" s="2">
        <v>0.74641380400530499</v>
      </c>
      <c r="E154">
        <v>1</v>
      </c>
      <c r="F154" s="7">
        <f>IF(AND(Table1[[#This Row],[Predicted Outcome]]=1,Table1[[#This Row],[Actual Outcome]]=1),1,0)</f>
        <v>1</v>
      </c>
      <c r="G154" cm="1">
        <f t="array" ref="G154">_xlfn.XLOOKUP(MAX(IF(Table2[Probability_Default]&lt;Table1[[#This Row],[Probability_Default]],Table2[Probability_Default])),Table2[Probability_Default],Table2[Decile],0)</f>
        <v>6</v>
      </c>
    </row>
    <row r="155" spans="1:7" x14ac:dyDescent="0.2">
      <c r="A155">
        <v>358</v>
      </c>
      <c r="B155">
        <v>1</v>
      </c>
      <c r="C155" s="2">
        <v>0.25445357710754901</v>
      </c>
      <c r="D155" s="2">
        <v>0.74554642289244999</v>
      </c>
      <c r="E155">
        <v>1</v>
      </c>
      <c r="F155" s="7">
        <f>IF(AND(Table1[[#This Row],[Predicted Outcome]]=1,Table1[[#This Row],[Actual Outcome]]=1),1,0)</f>
        <v>1</v>
      </c>
      <c r="G155" cm="1">
        <f t="array" ref="G155">_xlfn.XLOOKUP(MAX(IF(Table2[Probability_Default]&lt;Table1[[#This Row],[Probability_Default]],Table2[Probability_Default])),Table2[Probability_Default],Table2[Decile],0)</f>
        <v>6</v>
      </c>
    </row>
    <row r="156" spans="1:7" x14ac:dyDescent="0.2">
      <c r="A156">
        <v>117</v>
      </c>
      <c r="B156">
        <v>1</v>
      </c>
      <c r="C156" s="2">
        <v>0.25728858915584601</v>
      </c>
      <c r="D156" s="2">
        <v>0.74271141084415304</v>
      </c>
      <c r="E156">
        <v>1</v>
      </c>
      <c r="F156" s="7">
        <f>IF(AND(Table1[[#This Row],[Predicted Outcome]]=1,Table1[[#This Row],[Actual Outcome]]=1),1,0)</f>
        <v>1</v>
      </c>
      <c r="G156" cm="1">
        <f t="array" ref="G156">_xlfn.XLOOKUP(MAX(IF(Table2[Probability_Default]&lt;Table1[[#This Row],[Probability_Default]],Table2[Probability_Default])),Table2[Probability_Default],Table2[Decile],0)</f>
        <v>6</v>
      </c>
    </row>
    <row r="157" spans="1:7" x14ac:dyDescent="0.2">
      <c r="A157">
        <v>88</v>
      </c>
      <c r="B157">
        <v>1</v>
      </c>
      <c r="C157" s="2">
        <v>0.25779861717860603</v>
      </c>
      <c r="D157" s="2">
        <v>0.74220138282139303</v>
      </c>
      <c r="E157">
        <v>1</v>
      </c>
      <c r="F157" s="7">
        <f>IF(AND(Table1[[#This Row],[Predicted Outcome]]=1,Table1[[#This Row],[Actual Outcome]]=1),1,0)</f>
        <v>1</v>
      </c>
      <c r="G157" cm="1">
        <f t="array" ref="G157">_xlfn.XLOOKUP(MAX(IF(Table2[Probability_Default]&lt;Table1[[#This Row],[Probability_Default]],Table2[Probability_Default])),Table2[Probability_Default],Table2[Decile],0)</f>
        <v>6</v>
      </c>
    </row>
    <row r="158" spans="1:7" x14ac:dyDescent="0.2">
      <c r="A158">
        <v>216</v>
      </c>
      <c r="B158">
        <v>0</v>
      </c>
      <c r="C158" s="2">
        <v>0.258761506146721</v>
      </c>
      <c r="D158" s="2">
        <v>0.741238493853278</v>
      </c>
      <c r="E158">
        <v>1</v>
      </c>
      <c r="F158" s="7">
        <f>IF(AND(Table1[[#This Row],[Predicted Outcome]]=1,Table1[[#This Row],[Actual Outcome]]=1),1,0)</f>
        <v>0</v>
      </c>
      <c r="G158" cm="1">
        <f t="array" ref="G158">_xlfn.XLOOKUP(MAX(IF(Table2[Probability_Default]&lt;Table1[[#This Row],[Probability_Default]],Table2[Probability_Default])),Table2[Probability_Default],Table2[Decile],0)</f>
        <v>6</v>
      </c>
    </row>
    <row r="159" spans="1:7" x14ac:dyDescent="0.2">
      <c r="A159">
        <v>378</v>
      </c>
      <c r="B159">
        <v>1</v>
      </c>
      <c r="C159" s="2">
        <v>0.25941096366542399</v>
      </c>
      <c r="D159" s="2">
        <v>0.74058903633457496</v>
      </c>
      <c r="E159">
        <v>1</v>
      </c>
      <c r="F159" s="7">
        <f>IF(AND(Table1[[#This Row],[Predicted Outcome]]=1,Table1[[#This Row],[Actual Outcome]]=1),1,0)</f>
        <v>1</v>
      </c>
      <c r="G159" cm="1">
        <f t="array" ref="G159">_xlfn.XLOOKUP(MAX(IF(Table2[Probability_Default]&lt;Table1[[#This Row],[Probability_Default]],Table2[Probability_Default])),Table2[Probability_Default],Table2[Decile],0)</f>
        <v>6</v>
      </c>
    </row>
    <row r="160" spans="1:7" x14ac:dyDescent="0.2">
      <c r="A160">
        <v>284</v>
      </c>
      <c r="B160">
        <v>0</v>
      </c>
      <c r="C160" s="2">
        <v>0.26099325252351802</v>
      </c>
      <c r="D160" s="2">
        <v>0.73900674747648099</v>
      </c>
      <c r="E160">
        <v>1</v>
      </c>
      <c r="F160" s="7">
        <f>IF(AND(Table1[[#This Row],[Predicted Outcome]]=1,Table1[[#This Row],[Actual Outcome]]=1),1,0)</f>
        <v>0</v>
      </c>
      <c r="G160" cm="1">
        <f t="array" ref="G160">_xlfn.XLOOKUP(MAX(IF(Table2[Probability_Default]&lt;Table1[[#This Row],[Probability_Default]],Table2[Probability_Default])),Table2[Probability_Default],Table2[Decile],0)</f>
        <v>6</v>
      </c>
    </row>
    <row r="161" spans="1:7" x14ac:dyDescent="0.2">
      <c r="A161">
        <v>27</v>
      </c>
      <c r="B161">
        <v>1</v>
      </c>
      <c r="C161" s="2">
        <v>0.26392854987696102</v>
      </c>
      <c r="D161" s="2">
        <v>0.73607145012303798</v>
      </c>
      <c r="E161">
        <v>1</v>
      </c>
      <c r="F161" s="7">
        <f>IF(AND(Table1[[#This Row],[Predicted Outcome]]=1,Table1[[#This Row],[Actual Outcome]]=1),1,0)</f>
        <v>1</v>
      </c>
      <c r="G161" cm="1">
        <f t="array" ref="G161">_xlfn.XLOOKUP(MAX(IF(Table2[Probability_Default]&lt;Table1[[#This Row],[Probability_Default]],Table2[Probability_Default])),Table2[Probability_Default],Table2[Decile],0)</f>
        <v>6</v>
      </c>
    </row>
    <row r="162" spans="1:7" x14ac:dyDescent="0.2">
      <c r="A162">
        <v>68</v>
      </c>
      <c r="B162">
        <v>0</v>
      </c>
      <c r="C162" s="2">
        <v>0.26432012208739603</v>
      </c>
      <c r="D162" s="2">
        <v>0.73567987791260303</v>
      </c>
      <c r="E162">
        <v>1</v>
      </c>
      <c r="F162" s="7">
        <f>IF(AND(Table1[[#This Row],[Predicted Outcome]]=1,Table1[[#This Row],[Actual Outcome]]=1),1,0)</f>
        <v>0</v>
      </c>
      <c r="G162" cm="1">
        <f t="array" ref="G162">_xlfn.XLOOKUP(MAX(IF(Table2[Probability_Default]&lt;Table1[[#This Row],[Probability_Default]],Table2[Probability_Default])),Table2[Probability_Default],Table2[Decile],0)</f>
        <v>5</v>
      </c>
    </row>
    <row r="163" spans="1:7" x14ac:dyDescent="0.2">
      <c r="A163">
        <v>337</v>
      </c>
      <c r="B163">
        <v>1</v>
      </c>
      <c r="C163" s="2">
        <v>0.26495177030531097</v>
      </c>
      <c r="D163" s="2">
        <v>0.73504822969468797</v>
      </c>
      <c r="E163">
        <v>1</v>
      </c>
      <c r="F163" s="7">
        <f>IF(AND(Table1[[#This Row],[Predicted Outcome]]=1,Table1[[#This Row],[Actual Outcome]]=1),1,0)</f>
        <v>1</v>
      </c>
      <c r="G163" cm="1">
        <f t="array" ref="G163">_xlfn.XLOOKUP(MAX(IF(Table2[Probability_Default]&lt;Table1[[#This Row],[Probability_Default]],Table2[Probability_Default])),Table2[Probability_Default],Table2[Decile],0)</f>
        <v>5</v>
      </c>
    </row>
    <row r="164" spans="1:7" x14ac:dyDescent="0.2">
      <c r="A164">
        <v>137</v>
      </c>
      <c r="B164">
        <v>1</v>
      </c>
      <c r="C164" s="2">
        <v>0.26886434325654102</v>
      </c>
      <c r="D164" s="2">
        <v>0.73113565674345804</v>
      </c>
      <c r="E164">
        <v>1</v>
      </c>
      <c r="F164" s="7">
        <f>IF(AND(Table1[[#This Row],[Predicted Outcome]]=1,Table1[[#This Row],[Actual Outcome]]=1),1,0)</f>
        <v>1</v>
      </c>
      <c r="G164" cm="1">
        <f t="array" ref="G164">_xlfn.XLOOKUP(MAX(IF(Table2[Probability_Default]&lt;Table1[[#This Row],[Probability_Default]],Table2[Probability_Default])),Table2[Probability_Default],Table2[Decile],0)</f>
        <v>5</v>
      </c>
    </row>
    <row r="165" spans="1:7" x14ac:dyDescent="0.2">
      <c r="A165">
        <v>298</v>
      </c>
      <c r="B165">
        <v>1</v>
      </c>
      <c r="C165" s="2">
        <v>0.26898675342452699</v>
      </c>
      <c r="D165" s="2">
        <v>0.73101324657547195</v>
      </c>
      <c r="E165">
        <v>1</v>
      </c>
      <c r="F165" s="7">
        <f>IF(AND(Table1[[#This Row],[Predicted Outcome]]=1,Table1[[#This Row],[Actual Outcome]]=1),1,0)</f>
        <v>1</v>
      </c>
      <c r="G165" cm="1">
        <f t="array" ref="G165">_xlfn.XLOOKUP(MAX(IF(Table2[Probability_Default]&lt;Table1[[#This Row],[Probability_Default]],Table2[Probability_Default])),Table2[Probability_Default],Table2[Decile],0)</f>
        <v>5</v>
      </c>
    </row>
    <row r="166" spans="1:7" x14ac:dyDescent="0.2">
      <c r="A166">
        <v>142</v>
      </c>
      <c r="B166">
        <v>1</v>
      </c>
      <c r="C166" s="2">
        <v>0.27063113603419198</v>
      </c>
      <c r="D166" s="2">
        <v>0.72936886396580702</v>
      </c>
      <c r="E166">
        <v>1</v>
      </c>
      <c r="F166" s="7">
        <f>IF(AND(Table1[[#This Row],[Predicted Outcome]]=1,Table1[[#This Row],[Actual Outcome]]=1),1,0)</f>
        <v>1</v>
      </c>
      <c r="G166" cm="1">
        <f t="array" ref="G166">_xlfn.XLOOKUP(MAX(IF(Table2[Probability_Default]&lt;Table1[[#This Row],[Probability_Default]],Table2[Probability_Default])),Table2[Probability_Default],Table2[Decile],0)</f>
        <v>5</v>
      </c>
    </row>
    <row r="167" spans="1:7" x14ac:dyDescent="0.2">
      <c r="A167">
        <v>285</v>
      </c>
      <c r="B167">
        <v>1</v>
      </c>
      <c r="C167" s="2">
        <v>0.27158049470731899</v>
      </c>
      <c r="D167" s="2">
        <v>0.72841950529267996</v>
      </c>
      <c r="E167">
        <v>1</v>
      </c>
      <c r="F167" s="7">
        <f>IF(AND(Table1[[#This Row],[Predicted Outcome]]=1,Table1[[#This Row],[Actual Outcome]]=1),1,0)</f>
        <v>1</v>
      </c>
      <c r="G167" cm="1">
        <f t="array" ref="G167">_xlfn.XLOOKUP(MAX(IF(Table2[Probability_Default]&lt;Table1[[#This Row],[Probability_Default]],Table2[Probability_Default])),Table2[Probability_Default],Table2[Decile],0)</f>
        <v>5</v>
      </c>
    </row>
    <row r="168" spans="1:7" x14ac:dyDescent="0.2">
      <c r="A168">
        <v>45</v>
      </c>
      <c r="B168">
        <v>1</v>
      </c>
      <c r="C168" s="2">
        <v>0.27253556424993602</v>
      </c>
      <c r="D168" s="2">
        <v>0.72746443575006303</v>
      </c>
      <c r="E168">
        <v>1</v>
      </c>
      <c r="F168" s="7">
        <f>IF(AND(Table1[[#This Row],[Predicted Outcome]]=1,Table1[[#This Row],[Actual Outcome]]=1),1,0)</f>
        <v>1</v>
      </c>
      <c r="G168" cm="1">
        <f t="array" ref="G168">_xlfn.XLOOKUP(MAX(IF(Table2[Probability_Default]&lt;Table1[[#This Row],[Probability_Default]],Table2[Probability_Default])),Table2[Probability_Default],Table2[Decile],0)</f>
        <v>5</v>
      </c>
    </row>
    <row r="169" spans="1:7" x14ac:dyDescent="0.2">
      <c r="A169">
        <v>293</v>
      </c>
      <c r="B169">
        <v>1</v>
      </c>
      <c r="C169" s="2">
        <v>0.27318290242094601</v>
      </c>
      <c r="D169" s="2">
        <v>0.726817097579053</v>
      </c>
      <c r="E169">
        <v>1</v>
      </c>
      <c r="F169" s="7">
        <f>IF(AND(Table1[[#This Row],[Predicted Outcome]]=1,Table1[[#This Row],[Actual Outcome]]=1),1,0)</f>
        <v>1</v>
      </c>
      <c r="G169" cm="1">
        <f t="array" ref="G169">_xlfn.XLOOKUP(MAX(IF(Table2[Probability_Default]&lt;Table1[[#This Row],[Probability_Default]],Table2[Probability_Default])),Table2[Probability_Default],Table2[Decile],0)</f>
        <v>5</v>
      </c>
    </row>
    <row r="170" spans="1:7" x14ac:dyDescent="0.2">
      <c r="A170">
        <v>295</v>
      </c>
      <c r="B170">
        <v>1</v>
      </c>
      <c r="C170" s="2">
        <v>0.27374413181205498</v>
      </c>
      <c r="D170" s="2">
        <v>0.72625586818794396</v>
      </c>
      <c r="E170">
        <v>1</v>
      </c>
      <c r="F170" s="7">
        <f>IF(AND(Table1[[#This Row],[Predicted Outcome]]=1,Table1[[#This Row],[Actual Outcome]]=1),1,0)</f>
        <v>1</v>
      </c>
      <c r="G170" cm="1">
        <f t="array" ref="G170">_xlfn.XLOOKUP(MAX(IF(Table2[Probability_Default]&lt;Table1[[#This Row],[Probability_Default]],Table2[Probability_Default])),Table2[Probability_Default],Table2[Decile],0)</f>
        <v>5</v>
      </c>
    </row>
    <row r="171" spans="1:7" x14ac:dyDescent="0.2">
      <c r="A171">
        <v>147</v>
      </c>
      <c r="B171">
        <v>1</v>
      </c>
      <c r="C171" s="2">
        <v>0.27554670281010102</v>
      </c>
      <c r="D171" s="2">
        <v>0.72445329718989804</v>
      </c>
      <c r="E171">
        <v>1</v>
      </c>
      <c r="F171" s="7">
        <f>IF(AND(Table1[[#This Row],[Predicted Outcome]]=1,Table1[[#This Row],[Actual Outcome]]=1),1,0)</f>
        <v>1</v>
      </c>
      <c r="G171" cm="1">
        <f t="array" ref="G171">_xlfn.XLOOKUP(MAX(IF(Table2[Probability_Default]&lt;Table1[[#This Row],[Probability_Default]],Table2[Probability_Default])),Table2[Probability_Default],Table2[Decile],0)</f>
        <v>5</v>
      </c>
    </row>
    <row r="172" spans="1:7" x14ac:dyDescent="0.2">
      <c r="A172">
        <v>47</v>
      </c>
      <c r="B172">
        <v>1</v>
      </c>
      <c r="C172" s="2">
        <v>0.27710211064376999</v>
      </c>
      <c r="D172" s="2">
        <v>0.72289788935622901</v>
      </c>
      <c r="E172">
        <v>1</v>
      </c>
      <c r="F172" s="7">
        <f>IF(AND(Table1[[#This Row],[Predicted Outcome]]=1,Table1[[#This Row],[Actual Outcome]]=1),1,0)</f>
        <v>1</v>
      </c>
      <c r="G172" cm="1">
        <f t="array" ref="G172">_xlfn.XLOOKUP(MAX(IF(Table2[Probability_Default]&lt;Table1[[#This Row],[Probability_Default]],Table2[Probability_Default])),Table2[Probability_Default],Table2[Decile],0)</f>
        <v>5</v>
      </c>
    </row>
    <row r="173" spans="1:7" x14ac:dyDescent="0.2">
      <c r="A173">
        <v>331</v>
      </c>
      <c r="B173">
        <v>1</v>
      </c>
      <c r="C173" s="2">
        <v>0.27781570733417399</v>
      </c>
      <c r="D173" s="2">
        <v>0.72218429266582496</v>
      </c>
      <c r="E173">
        <v>1</v>
      </c>
      <c r="F173" s="7">
        <f>IF(AND(Table1[[#This Row],[Predicted Outcome]]=1,Table1[[#This Row],[Actual Outcome]]=1),1,0)</f>
        <v>1</v>
      </c>
      <c r="G173" cm="1">
        <f t="array" ref="G173">_xlfn.XLOOKUP(MAX(IF(Table2[Probability_Default]&lt;Table1[[#This Row],[Probability_Default]],Table2[Probability_Default])),Table2[Probability_Default],Table2[Decile],0)</f>
        <v>5</v>
      </c>
    </row>
    <row r="174" spans="1:7" x14ac:dyDescent="0.2">
      <c r="A174">
        <v>208</v>
      </c>
      <c r="B174">
        <v>1</v>
      </c>
      <c r="C174" s="2">
        <v>0.28063172859399699</v>
      </c>
      <c r="D174" s="2">
        <v>0.71936827140600201</v>
      </c>
      <c r="E174">
        <v>1</v>
      </c>
      <c r="F174" s="7">
        <f>IF(AND(Table1[[#This Row],[Predicted Outcome]]=1,Table1[[#This Row],[Actual Outcome]]=1),1,0)</f>
        <v>1</v>
      </c>
      <c r="G174" cm="1">
        <f t="array" ref="G174">_xlfn.XLOOKUP(MAX(IF(Table2[Probability_Default]&lt;Table1[[#This Row],[Probability_Default]],Table2[Probability_Default])),Table2[Probability_Default],Table2[Decile],0)</f>
        <v>5</v>
      </c>
    </row>
    <row r="175" spans="1:7" x14ac:dyDescent="0.2">
      <c r="A175">
        <v>128</v>
      </c>
      <c r="B175">
        <v>0</v>
      </c>
      <c r="C175" s="2">
        <v>0.28119678566501699</v>
      </c>
      <c r="D175" s="2">
        <v>0.71880321433498195</v>
      </c>
      <c r="E175">
        <v>1</v>
      </c>
      <c r="F175" s="7">
        <f>IF(AND(Table1[[#This Row],[Predicted Outcome]]=1,Table1[[#This Row],[Actual Outcome]]=1),1,0)</f>
        <v>0</v>
      </c>
      <c r="G175" cm="1">
        <f t="array" ref="G175">_xlfn.XLOOKUP(MAX(IF(Table2[Probability_Default]&lt;Table1[[#This Row],[Probability_Default]],Table2[Probability_Default])),Table2[Probability_Default],Table2[Decile],0)</f>
        <v>5</v>
      </c>
    </row>
    <row r="176" spans="1:7" x14ac:dyDescent="0.2">
      <c r="A176">
        <v>296</v>
      </c>
      <c r="B176">
        <v>0</v>
      </c>
      <c r="C176" s="2">
        <v>0.28199995822201401</v>
      </c>
      <c r="D176" s="2">
        <v>0.71800004177798504</v>
      </c>
      <c r="E176">
        <v>1</v>
      </c>
      <c r="F176" s="7">
        <f>IF(AND(Table1[[#This Row],[Predicted Outcome]]=1,Table1[[#This Row],[Actual Outcome]]=1),1,0)</f>
        <v>0</v>
      </c>
      <c r="G176" cm="1">
        <f t="array" ref="G176">_xlfn.XLOOKUP(MAX(IF(Table2[Probability_Default]&lt;Table1[[#This Row],[Probability_Default]],Table2[Probability_Default])),Table2[Probability_Default],Table2[Decile],0)</f>
        <v>5</v>
      </c>
    </row>
    <row r="177" spans="1:7" x14ac:dyDescent="0.2">
      <c r="A177">
        <v>219</v>
      </c>
      <c r="B177">
        <v>0</v>
      </c>
      <c r="C177" s="2">
        <v>0.28324976745032598</v>
      </c>
      <c r="D177" s="2">
        <v>0.71675023254967296</v>
      </c>
      <c r="E177">
        <v>1</v>
      </c>
      <c r="F177" s="7">
        <f>IF(AND(Table1[[#This Row],[Predicted Outcome]]=1,Table1[[#This Row],[Actual Outcome]]=1),1,0)</f>
        <v>0</v>
      </c>
      <c r="G177" cm="1">
        <f t="array" ref="G177">_xlfn.XLOOKUP(MAX(IF(Table2[Probability_Default]&lt;Table1[[#This Row],[Probability_Default]],Table2[Probability_Default])),Table2[Probability_Default],Table2[Decile],0)</f>
        <v>5</v>
      </c>
    </row>
    <row r="178" spans="1:7" x14ac:dyDescent="0.2">
      <c r="A178">
        <v>207</v>
      </c>
      <c r="B178">
        <v>1</v>
      </c>
      <c r="C178" s="2">
        <v>0.28923921709920603</v>
      </c>
      <c r="D178" s="2">
        <v>0.71076078290079303</v>
      </c>
      <c r="E178">
        <v>1</v>
      </c>
      <c r="F178" s="7">
        <f>IF(AND(Table1[[#This Row],[Predicted Outcome]]=1,Table1[[#This Row],[Actual Outcome]]=1),1,0)</f>
        <v>1</v>
      </c>
      <c r="G178" cm="1">
        <f t="array" ref="G178">_xlfn.XLOOKUP(MAX(IF(Table2[Probability_Default]&lt;Table1[[#This Row],[Probability_Default]],Table2[Probability_Default])),Table2[Probability_Default],Table2[Decile],0)</f>
        <v>5</v>
      </c>
    </row>
    <row r="179" spans="1:7" x14ac:dyDescent="0.2">
      <c r="A179">
        <v>395</v>
      </c>
      <c r="B179">
        <v>1</v>
      </c>
      <c r="C179" s="2">
        <v>0.28951606104317201</v>
      </c>
      <c r="D179" s="2">
        <v>0.71048393895682704</v>
      </c>
      <c r="E179">
        <v>1</v>
      </c>
      <c r="F179" s="7">
        <f>IF(AND(Table1[[#This Row],[Predicted Outcome]]=1,Table1[[#This Row],[Actual Outcome]]=1),1,0)</f>
        <v>1</v>
      </c>
      <c r="G179" cm="1">
        <f t="array" ref="G179">_xlfn.XLOOKUP(MAX(IF(Table2[Probability_Default]&lt;Table1[[#This Row],[Probability_Default]],Table2[Probability_Default])),Table2[Probability_Default],Table2[Decile],0)</f>
        <v>5</v>
      </c>
    </row>
    <row r="180" spans="1:7" x14ac:dyDescent="0.2">
      <c r="A180">
        <v>248</v>
      </c>
      <c r="B180">
        <v>1</v>
      </c>
      <c r="C180" s="2">
        <v>0.29076737013153298</v>
      </c>
      <c r="D180" s="2">
        <v>0.70923262986846602</v>
      </c>
      <c r="E180">
        <v>1</v>
      </c>
      <c r="F180" s="7">
        <f>IF(AND(Table1[[#This Row],[Predicted Outcome]]=1,Table1[[#This Row],[Actual Outcome]]=1),1,0)</f>
        <v>1</v>
      </c>
      <c r="G180" cm="1">
        <f t="array" ref="G180">_xlfn.XLOOKUP(MAX(IF(Table2[Probability_Default]&lt;Table1[[#This Row],[Probability_Default]],Table2[Probability_Default])),Table2[Probability_Default],Table2[Decile],0)</f>
        <v>5</v>
      </c>
    </row>
    <row r="181" spans="1:7" x14ac:dyDescent="0.2">
      <c r="A181">
        <v>325</v>
      </c>
      <c r="B181">
        <v>1</v>
      </c>
      <c r="C181" s="2">
        <v>0.292362884790758</v>
      </c>
      <c r="D181" s="2">
        <v>0.707637115209241</v>
      </c>
      <c r="E181">
        <v>1</v>
      </c>
      <c r="F181" s="7">
        <f>IF(AND(Table1[[#This Row],[Predicted Outcome]]=1,Table1[[#This Row],[Actual Outcome]]=1),1,0)</f>
        <v>1</v>
      </c>
      <c r="G181" cm="1">
        <f t="array" ref="G181">_xlfn.XLOOKUP(MAX(IF(Table2[Probability_Default]&lt;Table1[[#This Row],[Probability_Default]],Table2[Probability_Default])),Table2[Probability_Default],Table2[Decile],0)</f>
        <v>5</v>
      </c>
    </row>
    <row r="182" spans="1:7" x14ac:dyDescent="0.2">
      <c r="A182">
        <v>173</v>
      </c>
      <c r="B182">
        <v>1</v>
      </c>
      <c r="C182" s="2">
        <v>0.29244533845704701</v>
      </c>
      <c r="D182" s="2">
        <v>0.70755466154295199</v>
      </c>
      <c r="E182">
        <v>1</v>
      </c>
      <c r="F182" s="7">
        <f>IF(AND(Table1[[#This Row],[Predicted Outcome]]=1,Table1[[#This Row],[Actual Outcome]]=1),1,0)</f>
        <v>1</v>
      </c>
      <c r="G182" cm="1">
        <f t="array" ref="G182">_xlfn.XLOOKUP(MAX(IF(Table2[Probability_Default]&lt;Table1[[#This Row],[Probability_Default]],Table2[Probability_Default])),Table2[Probability_Default],Table2[Decile],0)</f>
        <v>5</v>
      </c>
    </row>
    <row r="183" spans="1:7" x14ac:dyDescent="0.2">
      <c r="A183">
        <v>271</v>
      </c>
      <c r="B183">
        <v>1</v>
      </c>
      <c r="C183" s="2">
        <v>0.293192053362474</v>
      </c>
      <c r="D183" s="2">
        <v>0.706807946637525</v>
      </c>
      <c r="E183">
        <v>1</v>
      </c>
      <c r="F183" s="7">
        <f>IF(AND(Table1[[#This Row],[Predicted Outcome]]=1,Table1[[#This Row],[Actual Outcome]]=1),1,0)</f>
        <v>1</v>
      </c>
      <c r="G183" cm="1">
        <f t="array" ref="G183">_xlfn.XLOOKUP(MAX(IF(Table2[Probability_Default]&lt;Table1[[#This Row],[Probability_Default]],Table2[Probability_Default])),Table2[Probability_Default],Table2[Decile],0)</f>
        <v>5</v>
      </c>
    </row>
    <row r="184" spans="1:7" x14ac:dyDescent="0.2">
      <c r="A184">
        <v>229</v>
      </c>
      <c r="B184">
        <v>1</v>
      </c>
      <c r="C184" s="2">
        <v>0.293774800162516</v>
      </c>
      <c r="D184" s="2">
        <v>0.706225199837483</v>
      </c>
      <c r="E184">
        <v>1</v>
      </c>
      <c r="F184" s="7">
        <f>IF(AND(Table1[[#This Row],[Predicted Outcome]]=1,Table1[[#This Row],[Actual Outcome]]=1),1,0)</f>
        <v>1</v>
      </c>
      <c r="G184" cm="1">
        <f t="array" ref="G184">_xlfn.XLOOKUP(MAX(IF(Table2[Probability_Default]&lt;Table1[[#This Row],[Probability_Default]],Table2[Probability_Default])),Table2[Probability_Default],Table2[Decile],0)</f>
        <v>5</v>
      </c>
    </row>
    <row r="185" spans="1:7" x14ac:dyDescent="0.2">
      <c r="A185">
        <v>73</v>
      </c>
      <c r="B185">
        <v>1</v>
      </c>
      <c r="C185" s="2">
        <v>0.29630775275148502</v>
      </c>
      <c r="D185" s="2">
        <v>0.70369224724851398</v>
      </c>
      <c r="E185">
        <v>1</v>
      </c>
      <c r="F185" s="7">
        <f>IF(AND(Table1[[#This Row],[Predicted Outcome]]=1,Table1[[#This Row],[Actual Outcome]]=1),1,0)</f>
        <v>1</v>
      </c>
      <c r="G185" cm="1">
        <f t="array" ref="G185">_xlfn.XLOOKUP(MAX(IF(Table2[Probability_Default]&lt;Table1[[#This Row],[Probability_Default]],Table2[Probability_Default])),Table2[Probability_Default],Table2[Decile],0)</f>
        <v>5</v>
      </c>
    </row>
    <row r="186" spans="1:7" x14ac:dyDescent="0.2">
      <c r="A186">
        <v>176</v>
      </c>
      <c r="B186">
        <v>0</v>
      </c>
      <c r="C186" s="2">
        <v>0.29756891371646099</v>
      </c>
      <c r="D186" s="2">
        <v>0.70243108628353801</v>
      </c>
      <c r="E186">
        <v>1</v>
      </c>
      <c r="F186" s="7">
        <f>IF(AND(Table1[[#This Row],[Predicted Outcome]]=1,Table1[[#This Row],[Actual Outcome]]=1),1,0)</f>
        <v>0</v>
      </c>
      <c r="G186" cm="1">
        <f t="array" ref="G186">_xlfn.XLOOKUP(MAX(IF(Table2[Probability_Default]&lt;Table1[[#This Row],[Probability_Default]],Table2[Probability_Default])),Table2[Probability_Default],Table2[Decile],0)</f>
        <v>5</v>
      </c>
    </row>
    <row r="187" spans="1:7" x14ac:dyDescent="0.2">
      <c r="A187">
        <v>375</v>
      </c>
      <c r="B187">
        <v>1</v>
      </c>
      <c r="C187" s="2">
        <v>0.29769343888509098</v>
      </c>
      <c r="D187" s="2">
        <v>0.70230656111490797</v>
      </c>
      <c r="E187">
        <v>1</v>
      </c>
      <c r="F187" s="7">
        <f>IF(AND(Table1[[#This Row],[Predicted Outcome]]=1,Table1[[#This Row],[Actual Outcome]]=1),1,0)</f>
        <v>1</v>
      </c>
      <c r="G187" cm="1">
        <f t="array" ref="G187">_xlfn.XLOOKUP(MAX(IF(Table2[Probability_Default]&lt;Table1[[#This Row],[Probability_Default]],Table2[Probability_Default])),Table2[Probability_Default],Table2[Decile],0)</f>
        <v>5</v>
      </c>
    </row>
    <row r="188" spans="1:7" x14ac:dyDescent="0.2">
      <c r="A188">
        <v>294</v>
      </c>
      <c r="B188">
        <v>1</v>
      </c>
      <c r="C188" s="2">
        <v>0.29925616136107702</v>
      </c>
      <c r="D188" s="2">
        <v>0.70074383863892198</v>
      </c>
      <c r="E188">
        <v>1</v>
      </c>
      <c r="F188" s="7">
        <f>IF(AND(Table1[[#This Row],[Predicted Outcome]]=1,Table1[[#This Row],[Actual Outcome]]=1),1,0)</f>
        <v>1</v>
      </c>
      <c r="G188" cm="1">
        <f t="array" ref="G188">_xlfn.XLOOKUP(MAX(IF(Table2[Probability_Default]&lt;Table1[[#This Row],[Probability_Default]],Table2[Probability_Default])),Table2[Probability_Default],Table2[Decile],0)</f>
        <v>5</v>
      </c>
    </row>
    <row r="189" spans="1:7" x14ac:dyDescent="0.2">
      <c r="A189">
        <v>144</v>
      </c>
      <c r="B189">
        <v>1</v>
      </c>
      <c r="C189" s="2">
        <v>0.299860409460599</v>
      </c>
      <c r="D189" s="2">
        <v>0.7001395905394</v>
      </c>
      <c r="E189">
        <v>1</v>
      </c>
      <c r="F189" s="7">
        <f>IF(AND(Table1[[#This Row],[Predicted Outcome]]=1,Table1[[#This Row],[Actual Outcome]]=1),1,0)</f>
        <v>1</v>
      </c>
      <c r="G189" cm="1">
        <f t="array" ref="G189">_xlfn.XLOOKUP(MAX(IF(Table2[Probability_Default]&lt;Table1[[#This Row],[Probability_Default]],Table2[Probability_Default])),Table2[Probability_Default],Table2[Decile],0)</f>
        <v>5</v>
      </c>
    </row>
    <row r="190" spans="1:7" x14ac:dyDescent="0.2">
      <c r="A190">
        <v>112</v>
      </c>
      <c r="B190">
        <v>1</v>
      </c>
      <c r="C190" s="2">
        <v>0.30014057805655098</v>
      </c>
      <c r="D190" s="2">
        <v>0.69985942194344897</v>
      </c>
      <c r="E190">
        <v>1</v>
      </c>
      <c r="F190" s="7">
        <f>IF(AND(Table1[[#This Row],[Predicted Outcome]]=1,Table1[[#This Row],[Actual Outcome]]=1),1,0)</f>
        <v>1</v>
      </c>
      <c r="G190" cm="1">
        <f t="array" ref="G190">_xlfn.XLOOKUP(MAX(IF(Table2[Probability_Default]&lt;Table1[[#This Row],[Probability_Default]],Table2[Probability_Default])),Table2[Probability_Default],Table2[Decile],0)</f>
        <v>5</v>
      </c>
    </row>
    <row r="191" spans="1:7" x14ac:dyDescent="0.2">
      <c r="A191">
        <v>348</v>
      </c>
      <c r="B191">
        <v>1</v>
      </c>
      <c r="C191" s="2">
        <v>0.30046113046397699</v>
      </c>
      <c r="D191" s="2">
        <v>0.69953886953602196</v>
      </c>
      <c r="E191">
        <v>1</v>
      </c>
      <c r="F191" s="7">
        <f>IF(AND(Table1[[#This Row],[Predicted Outcome]]=1,Table1[[#This Row],[Actual Outcome]]=1),1,0)</f>
        <v>1</v>
      </c>
      <c r="G191" cm="1">
        <f t="array" ref="G191">_xlfn.XLOOKUP(MAX(IF(Table2[Probability_Default]&lt;Table1[[#This Row],[Probability_Default]],Table2[Probability_Default])),Table2[Probability_Default],Table2[Decile],0)</f>
        <v>5</v>
      </c>
    </row>
    <row r="192" spans="1:7" x14ac:dyDescent="0.2">
      <c r="A192">
        <v>81</v>
      </c>
      <c r="B192">
        <v>0</v>
      </c>
      <c r="C192" s="2">
        <v>0.30070557484792598</v>
      </c>
      <c r="D192" s="2">
        <v>0.69929442515207296</v>
      </c>
      <c r="E192">
        <v>1</v>
      </c>
      <c r="F192" s="7">
        <f>IF(AND(Table1[[#This Row],[Predicted Outcome]]=1,Table1[[#This Row],[Actual Outcome]]=1),1,0)</f>
        <v>0</v>
      </c>
      <c r="G192" cm="1">
        <f t="array" ref="G192">_xlfn.XLOOKUP(MAX(IF(Table2[Probability_Default]&lt;Table1[[#This Row],[Probability_Default]],Table2[Probability_Default])),Table2[Probability_Default],Table2[Decile],0)</f>
        <v>5</v>
      </c>
    </row>
    <row r="193" spans="1:7" x14ac:dyDescent="0.2">
      <c r="A193">
        <v>338</v>
      </c>
      <c r="B193">
        <v>1</v>
      </c>
      <c r="C193" s="2">
        <v>0.30075960170344601</v>
      </c>
      <c r="D193" s="2">
        <v>0.69924039829655305</v>
      </c>
      <c r="E193">
        <v>1</v>
      </c>
      <c r="F193" s="7">
        <f>IF(AND(Table1[[#This Row],[Predicted Outcome]]=1,Table1[[#This Row],[Actual Outcome]]=1),1,0)</f>
        <v>1</v>
      </c>
      <c r="G193" cm="1">
        <f t="array" ref="G193">_xlfn.XLOOKUP(MAX(IF(Table2[Probability_Default]&lt;Table1[[#This Row],[Probability_Default]],Table2[Probability_Default])),Table2[Probability_Default],Table2[Decile],0)</f>
        <v>5</v>
      </c>
    </row>
    <row r="194" spans="1:7" x14ac:dyDescent="0.2">
      <c r="A194">
        <v>48</v>
      </c>
      <c r="B194">
        <v>1</v>
      </c>
      <c r="C194" s="2">
        <v>0.30137524256895099</v>
      </c>
      <c r="D194" s="2">
        <v>0.69862475743104802</v>
      </c>
      <c r="E194">
        <v>1</v>
      </c>
      <c r="F194" s="7">
        <f>IF(AND(Table1[[#This Row],[Predicted Outcome]]=1,Table1[[#This Row],[Actual Outcome]]=1),1,0)</f>
        <v>1</v>
      </c>
      <c r="G194" cm="1">
        <f t="array" ref="G194">_xlfn.XLOOKUP(MAX(IF(Table2[Probability_Default]&lt;Table1[[#This Row],[Probability_Default]],Table2[Probability_Default])),Table2[Probability_Default],Table2[Decile],0)</f>
        <v>5</v>
      </c>
    </row>
    <row r="195" spans="1:7" x14ac:dyDescent="0.2">
      <c r="A195">
        <v>346</v>
      </c>
      <c r="B195">
        <v>1</v>
      </c>
      <c r="C195" s="2">
        <v>0.30150861058802098</v>
      </c>
      <c r="D195" s="2">
        <v>0.69849138941197897</v>
      </c>
      <c r="E195">
        <v>1</v>
      </c>
      <c r="F195" s="7">
        <f>IF(AND(Table1[[#This Row],[Predicted Outcome]]=1,Table1[[#This Row],[Actual Outcome]]=1),1,0)</f>
        <v>1</v>
      </c>
      <c r="G195" cm="1">
        <f t="array" ref="G195">_xlfn.XLOOKUP(MAX(IF(Table2[Probability_Default]&lt;Table1[[#This Row],[Probability_Default]],Table2[Probability_Default])),Table2[Probability_Default],Table2[Decile],0)</f>
        <v>5</v>
      </c>
    </row>
    <row r="196" spans="1:7" x14ac:dyDescent="0.2">
      <c r="A196">
        <v>268</v>
      </c>
      <c r="B196">
        <v>1</v>
      </c>
      <c r="C196" s="2">
        <v>0.30262440210914898</v>
      </c>
      <c r="D196" s="2">
        <v>0.69737559789085002</v>
      </c>
      <c r="E196">
        <v>1</v>
      </c>
      <c r="F196" s="7">
        <f>IF(AND(Table1[[#This Row],[Predicted Outcome]]=1,Table1[[#This Row],[Actual Outcome]]=1),1,0)</f>
        <v>1</v>
      </c>
      <c r="G196" cm="1">
        <f t="array" ref="G196">_xlfn.XLOOKUP(MAX(IF(Table2[Probability_Default]&lt;Table1[[#This Row],[Probability_Default]],Table2[Probability_Default])),Table2[Probability_Default],Table2[Decile],0)</f>
        <v>5</v>
      </c>
    </row>
    <row r="197" spans="1:7" x14ac:dyDescent="0.2">
      <c r="A197">
        <v>109</v>
      </c>
      <c r="B197">
        <v>0</v>
      </c>
      <c r="C197" s="2">
        <v>0.30646528367970399</v>
      </c>
      <c r="D197" s="2">
        <v>0.69353471632029495</v>
      </c>
      <c r="E197">
        <v>1</v>
      </c>
      <c r="F197" s="7">
        <f>IF(AND(Table1[[#This Row],[Predicted Outcome]]=1,Table1[[#This Row],[Actual Outcome]]=1),1,0)</f>
        <v>0</v>
      </c>
      <c r="G197" cm="1">
        <f t="array" ref="G197">_xlfn.XLOOKUP(MAX(IF(Table2[Probability_Default]&lt;Table1[[#This Row],[Probability_Default]],Table2[Probability_Default])),Table2[Probability_Default],Table2[Decile],0)</f>
        <v>5</v>
      </c>
    </row>
    <row r="198" spans="1:7" x14ac:dyDescent="0.2">
      <c r="A198">
        <v>166</v>
      </c>
      <c r="B198">
        <v>1</v>
      </c>
      <c r="C198" s="2">
        <v>0.307490406676588</v>
      </c>
      <c r="D198" s="2">
        <v>0.692509593323411</v>
      </c>
      <c r="E198">
        <v>1</v>
      </c>
      <c r="F198" s="7">
        <f>IF(AND(Table1[[#This Row],[Predicted Outcome]]=1,Table1[[#This Row],[Actual Outcome]]=1),1,0)</f>
        <v>1</v>
      </c>
      <c r="G198" cm="1">
        <f t="array" ref="G198">_xlfn.XLOOKUP(MAX(IF(Table2[Probability_Default]&lt;Table1[[#This Row],[Probability_Default]],Table2[Probability_Default])),Table2[Probability_Default],Table2[Decile],0)</f>
        <v>5</v>
      </c>
    </row>
    <row r="199" spans="1:7" x14ac:dyDescent="0.2">
      <c r="A199">
        <v>55</v>
      </c>
      <c r="B199">
        <v>0</v>
      </c>
      <c r="C199" s="2">
        <v>0.30902042884405001</v>
      </c>
      <c r="D199" s="2">
        <v>0.69097957115594899</v>
      </c>
      <c r="E199">
        <v>1</v>
      </c>
      <c r="F199" s="7">
        <f>IF(AND(Table1[[#This Row],[Predicted Outcome]]=1,Table1[[#This Row],[Actual Outcome]]=1),1,0)</f>
        <v>0</v>
      </c>
      <c r="G199" cm="1">
        <f t="array" ref="G199">_xlfn.XLOOKUP(MAX(IF(Table2[Probability_Default]&lt;Table1[[#This Row],[Probability_Default]],Table2[Probability_Default])),Table2[Probability_Default],Table2[Decile],0)</f>
        <v>5</v>
      </c>
    </row>
    <row r="200" spans="1:7" x14ac:dyDescent="0.2">
      <c r="A200">
        <v>373</v>
      </c>
      <c r="B200">
        <v>1</v>
      </c>
      <c r="C200" s="2">
        <v>0.309704324365073</v>
      </c>
      <c r="D200" s="2">
        <v>0.690295675634926</v>
      </c>
      <c r="E200">
        <v>1</v>
      </c>
      <c r="F200" s="7">
        <f>IF(AND(Table1[[#This Row],[Predicted Outcome]]=1,Table1[[#This Row],[Actual Outcome]]=1),1,0)</f>
        <v>1</v>
      </c>
      <c r="G200" cm="1">
        <f t="array" ref="G200">_xlfn.XLOOKUP(MAX(IF(Table2[Probability_Default]&lt;Table1[[#This Row],[Probability_Default]],Table2[Probability_Default])),Table2[Probability_Default],Table2[Decile],0)</f>
        <v>5</v>
      </c>
    </row>
    <row r="201" spans="1:7" x14ac:dyDescent="0.2">
      <c r="A201">
        <v>194</v>
      </c>
      <c r="B201">
        <v>1</v>
      </c>
      <c r="C201" s="2">
        <v>0.31176723546570501</v>
      </c>
      <c r="D201" s="2">
        <v>0.68823276453429405</v>
      </c>
      <c r="E201">
        <v>1</v>
      </c>
      <c r="F201" s="7">
        <f>IF(AND(Table1[[#This Row],[Predicted Outcome]]=1,Table1[[#This Row],[Actual Outcome]]=1),1,0)</f>
        <v>1</v>
      </c>
      <c r="G201" cm="1">
        <f t="array" ref="G201">_xlfn.XLOOKUP(MAX(IF(Table2[Probability_Default]&lt;Table1[[#This Row],[Probability_Default]],Table2[Probability_Default])),Table2[Probability_Default],Table2[Decile],0)</f>
        <v>5</v>
      </c>
    </row>
    <row r="202" spans="1:7" x14ac:dyDescent="0.2">
      <c r="A202">
        <v>158</v>
      </c>
      <c r="B202">
        <v>0</v>
      </c>
      <c r="C202" s="2">
        <v>0.31327244195659598</v>
      </c>
      <c r="D202" s="2">
        <v>0.68672755804340302</v>
      </c>
      <c r="E202">
        <v>1</v>
      </c>
      <c r="F202" s="7">
        <f>IF(AND(Table1[[#This Row],[Predicted Outcome]]=1,Table1[[#This Row],[Actual Outcome]]=1),1,0)</f>
        <v>0</v>
      </c>
      <c r="G202" cm="1">
        <f t="array" ref="G202">_xlfn.XLOOKUP(MAX(IF(Table2[Probability_Default]&lt;Table1[[#This Row],[Probability_Default]],Table2[Probability_Default])),Table2[Probability_Default],Table2[Decile],0)</f>
        <v>4</v>
      </c>
    </row>
    <row r="203" spans="1:7" x14ac:dyDescent="0.2">
      <c r="A203">
        <v>200</v>
      </c>
      <c r="B203">
        <v>1</v>
      </c>
      <c r="C203" s="2">
        <v>0.31555514299339299</v>
      </c>
      <c r="D203" s="2">
        <v>0.68444485700660596</v>
      </c>
      <c r="E203">
        <v>1</v>
      </c>
      <c r="F203" s="7">
        <f>IF(AND(Table1[[#This Row],[Predicted Outcome]]=1,Table1[[#This Row],[Actual Outcome]]=1),1,0)</f>
        <v>1</v>
      </c>
      <c r="G203" cm="1">
        <f t="array" ref="G203">_xlfn.XLOOKUP(MAX(IF(Table2[Probability_Default]&lt;Table1[[#This Row],[Probability_Default]],Table2[Probability_Default])),Table2[Probability_Default],Table2[Decile],0)</f>
        <v>4</v>
      </c>
    </row>
    <row r="204" spans="1:7" x14ac:dyDescent="0.2">
      <c r="A204">
        <v>190</v>
      </c>
      <c r="B204">
        <v>1</v>
      </c>
      <c r="C204" s="2">
        <v>0.31571184900468202</v>
      </c>
      <c r="D204" s="2">
        <v>0.68428815099531703</v>
      </c>
      <c r="E204">
        <v>1</v>
      </c>
      <c r="F204" s="7">
        <f>IF(AND(Table1[[#This Row],[Predicted Outcome]]=1,Table1[[#This Row],[Actual Outcome]]=1),1,0)</f>
        <v>1</v>
      </c>
      <c r="G204" cm="1">
        <f t="array" ref="G204">_xlfn.XLOOKUP(MAX(IF(Table2[Probability_Default]&lt;Table1[[#This Row],[Probability_Default]],Table2[Probability_Default])),Table2[Probability_Default],Table2[Decile],0)</f>
        <v>4</v>
      </c>
    </row>
    <row r="205" spans="1:7" x14ac:dyDescent="0.2">
      <c r="A205">
        <v>42</v>
      </c>
      <c r="B205">
        <v>1</v>
      </c>
      <c r="C205" s="2">
        <v>0.31602341802245199</v>
      </c>
      <c r="D205" s="2">
        <v>0.68397658197754696</v>
      </c>
      <c r="E205">
        <v>1</v>
      </c>
      <c r="F205" s="7">
        <f>IF(AND(Table1[[#This Row],[Predicted Outcome]]=1,Table1[[#This Row],[Actual Outcome]]=1),1,0)</f>
        <v>1</v>
      </c>
      <c r="G205" cm="1">
        <f t="array" ref="G205">_xlfn.XLOOKUP(MAX(IF(Table2[Probability_Default]&lt;Table1[[#This Row],[Probability_Default]],Table2[Probability_Default])),Table2[Probability_Default],Table2[Decile],0)</f>
        <v>4</v>
      </c>
    </row>
    <row r="206" spans="1:7" x14ac:dyDescent="0.2">
      <c r="A206">
        <v>110</v>
      </c>
      <c r="B206">
        <v>1</v>
      </c>
      <c r="C206" s="2">
        <v>0.31699005444084599</v>
      </c>
      <c r="D206" s="2">
        <v>0.68300994555915295</v>
      </c>
      <c r="E206">
        <v>1</v>
      </c>
      <c r="F206" s="7">
        <f>IF(AND(Table1[[#This Row],[Predicted Outcome]]=1,Table1[[#This Row],[Actual Outcome]]=1),1,0)</f>
        <v>1</v>
      </c>
      <c r="G206" cm="1">
        <f t="array" ref="G206">_xlfn.XLOOKUP(MAX(IF(Table2[Probability_Default]&lt;Table1[[#This Row],[Probability_Default]],Table2[Probability_Default])),Table2[Probability_Default],Table2[Decile],0)</f>
        <v>4</v>
      </c>
    </row>
    <row r="207" spans="1:7" x14ac:dyDescent="0.2">
      <c r="A207">
        <v>359</v>
      </c>
      <c r="B207">
        <v>0</v>
      </c>
      <c r="C207" s="2">
        <v>0.31730943432734798</v>
      </c>
      <c r="D207" s="2">
        <v>0.68269056567265196</v>
      </c>
      <c r="E207">
        <v>1</v>
      </c>
      <c r="F207" s="7">
        <f>IF(AND(Table1[[#This Row],[Predicted Outcome]]=1,Table1[[#This Row],[Actual Outcome]]=1),1,0)</f>
        <v>0</v>
      </c>
      <c r="G207" cm="1">
        <f t="array" ref="G207">_xlfn.XLOOKUP(MAX(IF(Table2[Probability_Default]&lt;Table1[[#This Row],[Probability_Default]],Table2[Probability_Default])),Table2[Probability_Default],Table2[Decile],0)</f>
        <v>4</v>
      </c>
    </row>
    <row r="208" spans="1:7" x14ac:dyDescent="0.2">
      <c r="A208">
        <v>281</v>
      </c>
      <c r="B208">
        <v>0</v>
      </c>
      <c r="C208" s="2">
        <v>0.317818971653546</v>
      </c>
      <c r="D208" s="2">
        <v>0.682181028346453</v>
      </c>
      <c r="E208">
        <v>1</v>
      </c>
      <c r="F208" s="7">
        <f>IF(AND(Table1[[#This Row],[Predicted Outcome]]=1,Table1[[#This Row],[Actual Outcome]]=1),1,0)</f>
        <v>0</v>
      </c>
      <c r="G208" cm="1">
        <f t="array" ref="G208">_xlfn.XLOOKUP(MAX(IF(Table2[Probability_Default]&lt;Table1[[#This Row],[Probability_Default]],Table2[Probability_Default])),Table2[Probability_Default],Table2[Decile],0)</f>
        <v>4</v>
      </c>
    </row>
    <row r="209" spans="1:7" x14ac:dyDescent="0.2">
      <c r="A209">
        <v>382</v>
      </c>
      <c r="B209">
        <v>1</v>
      </c>
      <c r="C209" s="2">
        <v>0.31942966400284201</v>
      </c>
      <c r="D209" s="2">
        <v>0.68057033599715799</v>
      </c>
      <c r="E209">
        <v>1</v>
      </c>
      <c r="F209" s="7">
        <f>IF(AND(Table1[[#This Row],[Predicted Outcome]]=1,Table1[[#This Row],[Actual Outcome]]=1),1,0)</f>
        <v>1</v>
      </c>
      <c r="G209" cm="1">
        <f t="array" ref="G209">_xlfn.XLOOKUP(MAX(IF(Table2[Probability_Default]&lt;Table1[[#This Row],[Probability_Default]],Table2[Probability_Default])),Table2[Probability_Default],Table2[Decile],0)</f>
        <v>4</v>
      </c>
    </row>
    <row r="210" spans="1:7" x14ac:dyDescent="0.2">
      <c r="A210">
        <v>357</v>
      </c>
      <c r="B210">
        <v>1</v>
      </c>
      <c r="C210" s="2">
        <v>0.32335959722789098</v>
      </c>
      <c r="D210" s="2">
        <v>0.67664040277210802</v>
      </c>
      <c r="E210">
        <v>1</v>
      </c>
      <c r="F210" s="7">
        <f>IF(AND(Table1[[#This Row],[Predicted Outcome]]=1,Table1[[#This Row],[Actual Outcome]]=1),1,0)</f>
        <v>1</v>
      </c>
      <c r="G210" cm="1">
        <f t="array" ref="G210">_xlfn.XLOOKUP(MAX(IF(Table2[Probability_Default]&lt;Table1[[#This Row],[Probability_Default]],Table2[Probability_Default])),Table2[Probability_Default],Table2[Decile],0)</f>
        <v>4</v>
      </c>
    </row>
    <row r="211" spans="1:7" x14ac:dyDescent="0.2">
      <c r="A211">
        <v>93</v>
      </c>
      <c r="B211">
        <v>1</v>
      </c>
      <c r="C211" s="2">
        <v>0.32354581702286</v>
      </c>
      <c r="D211" s="2">
        <v>0.676454182977139</v>
      </c>
      <c r="E211">
        <v>1</v>
      </c>
      <c r="F211" s="7">
        <f>IF(AND(Table1[[#This Row],[Predicted Outcome]]=1,Table1[[#This Row],[Actual Outcome]]=1),1,0)</f>
        <v>1</v>
      </c>
      <c r="G211" cm="1">
        <f t="array" ref="G211">_xlfn.XLOOKUP(MAX(IF(Table2[Probability_Default]&lt;Table1[[#This Row],[Probability_Default]],Table2[Probability_Default])),Table2[Probability_Default],Table2[Decile],0)</f>
        <v>4</v>
      </c>
    </row>
    <row r="212" spans="1:7" x14ac:dyDescent="0.2">
      <c r="A212">
        <v>193</v>
      </c>
      <c r="B212">
        <v>1</v>
      </c>
      <c r="C212" s="2">
        <v>0.326231788050034</v>
      </c>
      <c r="D212" s="2">
        <v>0.67376821194996495</v>
      </c>
      <c r="E212">
        <v>1</v>
      </c>
      <c r="F212" s="7">
        <f>IF(AND(Table1[[#This Row],[Predicted Outcome]]=1,Table1[[#This Row],[Actual Outcome]]=1),1,0)</f>
        <v>1</v>
      </c>
      <c r="G212" cm="1">
        <f t="array" ref="G212">_xlfn.XLOOKUP(MAX(IF(Table2[Probability_Default]&lt;Table1[[#This Row],[Probability_Default]],Table2[Probability_Default])),Table2[Probability_Default],Table2[Decile],0)</f>
        <v>4</v>
      </c>
    </row>
    <row r="213" spans="1:7" x14ac:dyDescent="0.2">
      <c r="A213">
        <v>275</v>
      </c>
      <c r="B213">
        <v>1</v>
      </c>
      <c r="C213" s="2">
        <v>0.32678821604161501</v>
      </c>
      <c r="D213" s="2">
        <v>0.67321178395838399</v>
      </c>
      <c r="E213">
        <v>1</v>
      </c>
      <c r="F213" s="7">
        <f>IF(AND(Table1[[#This Row],[Predicted Outcome]]=1,Table1[[#This Row],[Actual Outcome]]=1),1,0)</f>
        <v>1</v>
      </c>
      <c r="G213" cm="1">
        <f t="array" ref="G213">_xlfn.XLOOKUP(MAX(IF(Table2[Probability_Default]&lt;Table1[[#This Row],[Probability_Default]],Table2[Probability_Default])),Table2[Probability_Default],Table2[Decile],0)</f>
        <v>4</v>
      </c>
    </row>
    <row r="214" spans="1:7" x14ac:dyDescent="0.2">
      <c r="A214">
        <v>165</v>
      </c>
      <c r="B214">
        <v>1</v>
      </c>
      <c r="C214" s="2">
        <v>0.32715662493913</v>
      </c>
      <c r="D214" s="2">
        <v>0.672843375060869</v>
      </c>
      <c r="E214">
        <v>1</v>
      </c>
      <c r="F214" s="7">
        <f>IF(AND(Table1[[#This Row],[Predicted Outcome]]=1,Table1[[#This Row],[Actual Outcome]]=1),1,0)</f>
        <v>1</v>
      </c>
      <c r="G214" cm="1">
        <f t="array" ref="G214">_xlfn.XLOOKUP(MAX(IF(Table2[Probability_Default]&lt;Table1[[#This Row],[Probability_Default]],Table2[Probability_Default])),Table2[Probability_Default],Table2[Decile],0)</f>
        <v>4</v>
      </c>
    </row>
    <row r="215" spans="1:7" x14ac:dyDescent="0.2">
      <c r="A215">
        <v>12</v>
      </c>
      <c r="B215">
        <v>1</v>
      </c>
      <c r="C215" s="2">
        <v>0.329647406718653</v>
      </c>
      <c r="D215" s="2">
        <v>0.670352593281346</v>
      </c>
      <c r="E215">
        <v>1</v>
      </c>
      <c r="F215" s="7">
        <f>IF(AND(Table1[[#This Row],[Predicted Outcome]]=1,Table1[[#This Row],[Actual Outcome]]=1),1,0)</f>
        <v>1</v>
      </c>
      <c r="G215" cm="1">
        <f t="array" ref="G215">_xlfn.XLOOKUP(MAX(IF(Table2[Probability_Default]&lt;Table1[[#This Row],[Probability_Default]],Table2[Probability_Default])),Table2[Probability_Default],Table2[Decile],0)</f>
        <v>4</v>
      </c>
    </row>
    <row r="216" spans="1:7" x14ac:dyDescent="0.2">
      <c r="A216">
        <v>249</v>
      </c>
      <c r="B216">
        <v>1</v>
      </c>
      <c r="C216" s="2">
        <v>0.32990996893159502</v>
      </c>
      <c r="D216" s="2">
        <v>0.67009003106840404</v>
      </c>
      <c r="E216">
        <v>1</v>
      </c>
      <c r="F216" s="7">
        <f>IF(AND(Table1[[#This Row],[Predicted Outcome]]=1,Table1[[#This Row],[Actual Outcome]]=1),1,0)</f>
        <v>1</v>
      </c>
      <c r="G216" cm="1">
        <f t="array" ref="G216">_xlfn.XLOOKUP(MAX(IF(Table2[Probability_Default]&lt;Table1[[#This Row],[Probability_Default]],Table2[Probability_Default])),Table2[Probability_Default],Table2[Decile],0)</f>
        <v>4</v>
      </c>
    </row>
    <row r="217" spans="1:7" x14ac:dyDescent="0.2">
      <c r="A217">
        <v>232</v>
      </c>
      <c r="B217">
        <v>1</v>
      </c>
      <c r="C217" s="2">
        <v>0.330051377715598</v>
      </c>
      <c r="D217" s="2">
        <v>0.669948622284401</v>
      </c>
      <c r="E217">
        <v>1</v>
      </c>
      <c r="F217" s="7">
        <f>IF(AND(Table1[[#This Row],[Predicted Outcome]]=1,Table1[[#This Row],[Actual Outcome]]=1),1,0)</f>
        <v>1</v>
      </c>
      <c r="G217" cm="1">
        <f t="array" ref="G217">_xlfn.XLOOKUP(MAX(IF(Table2[Probability_Default]&lt;Table1[[#This Row],[Probability_Default]],Table2[Probability_Default])),Table2[Probability_Default],Table2[Decile],0)</f>
        <v>4</v>
      </c>
    </row>
    <row r="218" spans="1:7" x14ac:dyDescent="0.2">
      <c r="A218">
        <v>92</v>
      </c>
      <c r="B218">
        <v>1</v>
      </c>
      <c r="C218" s="2">
        <v>0.33216164086719902</v>
      </c>
      <c r="D218" s="2">
        <v>0.66783835913279999</v>
      </c>
      <c r="E218">
        <v>1</v>
      </c>
      <c r="F218" s="7">
        <f>IF(AND(Table1[[#This Row],[Predicted Outcome]]=1,Table1[[#This Row],[Actual Outcome]]=1),1,0)</f>
        <v>1</v>
      </c>
      <c r="G218" cm="1">
        <f t="array" ref="G218">_xlfn.XLOOKUP(MAX(IF(Table2[Probability_Default]&lt;Table1[[#This Row],[Probability_Default]],Table2[Probability_Default])),Table2[Probability_Default],Table2[Decile],0)</f>
        <v>4</v>
      </c>
    </row>
    <row r="219" spans="1:7" x14ac:dyDescent="0.2">
      <c r="A219">
        <v>170</v>
      </c>
      <c r="B219">
        <v>1</v>
      </c>
      <c r="C219" s="2">
        <v>0.33237817256942198</v>
      </c>
      <c r="D219" s="2">
        <v>0.66762182743057696</v>
      </c>
      <c r="E219">
        <v>1</v>
      </c>
      <c r="F219" s="7">
        <f>IF(AND(Table1[[#This Row],[Predicted Outcome]]=1,Table1[[#This Row],[Actual Outcome]]=1),1,0)</f>
        <v>1</v>
      </c>
      <c r="G219" cm="1">
        <f t="array" ref="G219">_xlfn.XLOOKUP(MAX(IF(Table2[Probability_Default]&lt;Table1[[#This Row],[Probability_Default]],Table2[Probability_Default])),Table2[Probability_Default],Table2[Decile],0)</f>
        <v>4</v>
      </c>
    </row>
    <row r="220" spans="1:7" x14ac:dyDescent="0.2">
      <c r="A220">
        <v>257</v>
      </c>
      <c r="B220">
        <v>1</v>
      </c>
      <c r="C220" s="2">
        <v>0.33252195344361501</v>
      </c>
      <c r="D220" s="2">
        <v>0.66747804655638399</v>
      </c>
      <c r="E220">
        <v>1</v>
      </c>
      <c r="F220" s="7">
        <f>IF(AND(Table1[[#This Row],[Predicted Outcome]]=1,Table1[[#This Row],[Actual Outcome]]=1),1,0)</f>
        <v>1</v>
      </c>
      <c r="G220" cm="1">
        <f t="array" ref="G220">_xlfn.XLOOKUP(MAX(IF(Table2[Probability_Default]&lt;Table1[[#This Row],[Probability_Default]],Table2[Probability_Default])),Table2[Probability_Default],Table2[Decile],0)</f>
        <v>4</v>
      </c>
    </row>
    <row r="221" spans="1:7" x14ac:dyDescent="0.2">
      <c r="A221">
        <v>74</v>
      </c>
      <c r="B221">
        <v>1</v>
      </c>
      <c r="C221" s="2">
        <v>0.33252591512111801</v>
      </c>
      <c r="D221" s="2">
        <v>0.66747408487888105</v>
      </c>
      <c r="E221">
        <v>1</v>
      </c>
      <c r="F221" s="7">
        <f>IF(AND(Table1[[#This Row],[Predicted Outcome]]=1,Table1[[#This Row],[Actual Outcome]]=1),1,0)</f>
        <v>1</v>
      </c>
      <c r="G221" cm="1">
        <f t="array" ref="G221">_xlfn.XLOOKUP(MAX(IF(Table2[Probability_Default]&lt;Table1[[#This Row],[Probability_Default]],Table2[Probability_Default])),Table2[Probability_Default],Table2[Decile],0)</f>
        <v>4</v>
      </c>
    </row>
    <row r="222" spans="1:7" x14ac:dyDescent="0.2">
      <c r="A222">
        <v>169</v>
      </c>
      <c r="B222">
        <v>1</v>
      </c>
      <c r="C222" s="2">
        <v>0.33290418266782101</v>
      </c>
      <c r="D222" s="2">
        <v>0.66709581733217804</v>
      </c>
      <c r="E222">
        <v>1</v>
      </c>
      <c r="F222" s="7">
        <f>IF(AND(Table1[[#This Row],[Predicted Outcome]]=1,Table1[[#This Row],[Actual Outcome]]=1),1,0)</f>
        <v>1</v>
      </c>
      <c r="G222" cm="1">
        <f t="array" ref="G222">_xlfn.XLOOKUP(MAX(IF(Table2[Probability_Default]&lt;Table1[[#This Row],[Probability_Default]],Table2[Probability_Default])),Table2[Probability_Default],Table2[Decile],0)</f>
        <v>4</v>
      </c>
    </row>
    <row r="223" spans="1:7" x14ac:dyDescent="0.2">
      <c r="A223">
        <v>121</v>
      </c>
      <c r="B223">
        <v>1</v>
      </c>
      <c r="C223" s="2">
        <v>0.33316374142997002</v>
      </c>
      <c r="D223" s="2">
        <v>0.66683625857002904</v>
      </c>
      <c r="E223">
        <v>1</v>
      </c>
      <c r="F223" s="7">
        <f>IF(AND(Table1[[#This Row],[Predicted Outcome]]=1,Table1[[#This Row],[Actual Outcome]]=1),1,0)</f>
        <v>1</v>
      </c>
      <c r="G223" cm="1">
        <f t="array" ref="G223">_xlfn.XLOOKUP(MAX(IF(Table2[Probability_Default]&lt;Table1[[#This Row],[Probability_Default]],Table2[Probability_Default])),Table2[Probability_Default],Table2[Decile],0)</f>
        <v>4</v>
      </c>
    </row>
    <row r="224" spans="1:7" x14ac:dyDescent="0.2">
      <c r="A224">
        <v>217</v>
      </c>
      <c r="B224">
        <v>1</v>
      </c>
      <c r="C224" s="2">
        <v>0.33397925673477202</v>
      </c>
      <c r="D224" s="2">
        <v>0.66602074326522798</v>
      </c>
      <c r="E224">
        <v>1</v>
      </c>
      <c r="F224" s="7">
        <f>IF(AND(Table1[[#This Row],[Predicted Outcome]]=1,Table1[[#This Row],[Actual Outcome]]=1),1,0)</f>
        <v>1</v>
      </c>
      <c r="G224" cm="1">
        <f t="array" ref="G224">_xlfn.XLOOKUP(MAX(IF(Table2[Probability_Default]&lt;Table1[[#This Row],[Probability_Default]],Table2[Probability_Default])),Table2[Probability_Default],Table2[Decile],0)</f>
        <v>4</v>
      </c>
    </row>
    <row r="225" spans="1:7" x14ac:dyDescent="0.2">
      <c r="A225">
        <v>69</v>
      </c>
      <c r="B225">
        <v>1</v>
      </c>
      <c r="C225" s="2">
        <v>0.33531155423528902</v>
      </c>
      <c r="D225" s="2">
        <v>0.66468844576470998</v>
      </c>
      <c r="E225">
        <v>1</v>
      </c>
      <c r="F225" s="7">
        <f>IF(AND(Table1[[#This Row],[Predicted Outcome]]=1,Table1[[#This Row],[Actual Outcome]]=1),1,0)</f>
        <v>1</v>
      </c>
      <c r="G225" cm="1">
        <f t="array" ref="G225">_xlfn.XLOOKUP(MAX(IF(Table2[Probability_Default]&lt;Table1[[#This Row],[Probability_Default]],Table2[Probability_Default])),Table2[Probability_Default],Table2[Decile],0)</f>
        <v>4</v>
      </c>
    </row>
    <row r="226" spans="1:7" x14ac:dyDescent="0.2">
      <c r="A226">
        <v>320</v>
      </c>
      <c r="B226">
        <v>1</v>
      </c>
      <c r="C226" s="2">
        <v>0.33683371706656301</v>
      </c>
      <c r="D226" s="2">
        <v>0.66316628293343605</v>
      </c>
      <c r="E226">
        <v>1</v>
      </c>
      <c r="F226" s="7">
        <f>IF(AND(Table1[[#This Row],[Predicted Outcome]]=1,Table1[[#This Row],[Actual Outcome]]=1),1,0)</f>
        <v>1</v>
      </c>
      <c r="G226" cm="1">
        <f t="array" ref="G226">_xlfn.XLOOKUP(MAX(IF(Table2[Probability_Default]&lt;Table1[[#This Row],[Probability_Default]],Table2[Probability_Default])),Table2[Probability_Default],Table2[Decile],0)</f>
        <v>4</v>
      </c>
    </row>
    <row r="227" spans="1:7" x14ac:dyDescent="0.2">
      <c r="A227">
        <v>261</v>
      </c>
      <c r="B227">
        <v>1</v>
      </c>
      <c r="C227" s="2">
        <v>0.33953936742927499</v>
      </c>
      <c r="D227" s="2">
        <v>0.66046063257072396</v>
      </c>
      <c r="E227">
        <v>1</v>
      </c>
      <c r="F227" s="7">
        <f>IF(AND(Table1[[#This Row],[Predicted Outcome]]=1,Table1[[#This Row],[Actual Outcome]]=1),1,0)</f>
        <v>1</v>
      </c>
      <c r="G227" cm="1">
        <f t="array" ref="G227">_xlfn.XLOOKUP(MAX(IF(Table2[Probability_Default]&lt;Table1[[#This Row],[Probability_Default]],Table2[Probability_Default])),Table2[Probability_Default],Table2[Decile],0)</f>
        <v>4</v>
      </c>
    </row>
    <row r="228" spans="1:7" x14ac:dyDescent="0.2">
      <c r="A228">
        <v>202</v>
      </c>
      <c r="B228">
        <v>1</v>
      </c>
      <c r="C228" s="2">
        <v>0.34036807528809898</v>
      </c>
      <c r="D228" s="2">
        <v>0.65963192471190002</v>
      </c>
      <c r="E228">
        <v>1</v>
      </c>
      <c r="F228" s="7">
        <f>IF(AND(Table1[[#This Row],[Predicted Outcome]]=1,Table1[[#This Row],[Actual Outcome]]=1),1,0)</f>
        <v>1</v>
      </c>
      <c r="G228" cm="1">
        <f t="array" ref="G228">_xlfn.XLOOKUP(MAX(IF(Table2[Probability_Default]&lt;Table1[[#This Row],[Probability_Default]],Table2[Probability_Default])),Table2[Probability_Default],Table2[Decile],0)</f>
        <v>4</v>
      </c>
    </row>
    <row r="229" spans="1:7" x14ac:dyDescent="0.2">
      <c r="A229">
        <v>259</v>
      </c>
      <c r="B229">
        <v>1</v>
      </c>
      <c r="C229" s="2">
        <v>0.34179201865543501</v>
      </c>
      <c r="D229" s="2">
        <v>0.65820798134456404</v>
      </c>
      <c r="E229">
        <v>1</v>
      </c>
      <c r="F229" s="7">
        <f>IF(AND(Table1[[#This Row],[Predicted Outcome]]=1,Table1[[#This Row],[Actual Outcome]]=1),1,0)</f>
        <v>1</v>
      </c>
      <c r="G229" cm="1">
        <f t="array" ref="G229">_xlfn.XLOOKUP(MAX(IF(Table2[Probability_Default]&lt;Table1[[#This Row],[Probability_Default]],Table2[Probability_Default])),Table2[Probability_Default],Table2[Decile],0)</f>
        <v>4</v>
      </c>
    </row>
    <row r="230" spans="1:7" x14ac:dyDescent="0.2">
      <c r="A230">
        <v>199</v>
      </c>
      <c r="B230">
        <v>1</v>
      </c>
      <c r="C230" s="2">
        <v>0.34404270866895897</v>
      </c>
      <c r="D230" s="2">
        <v>0.65595729133103997</v>
      </c>
      <c r="E230">
        <v>1</v>
      </c>
      <c r="F230" s="7">
        <f>IF(AND(Table1[[#This Row],[Predicted Outcome]]=1,Table1[[#This Row],[Actual Outcome]]=1),1,0)</f>
        <v>1</v>
      </c>
      <c r="G230" cm="1">
        <f t="array" ref="G230">_xlfn.XLOOKUP(MAX(IF(Table2[Probability_Default]&lt;Table1[[#This Row],[Probability_Default]],Table2[Probability_Default])),Table2[Probability_Default],Table2[Decile],0)</f>
        <v>4</v>
      </c>
    </row>
    <row r="231" spans="1:7" x14ac:dyDescent="0.2">
      <c r="A231">
        <v>366</v>
      </c>
      <c r="B231">
        <v>0</v>
      </c>
      <c r="C231" s="2">
        <v>0.34966680554516899</v>
      </c>
      <c r="D231" s="2">
        <v>0.65033319445482995</v>
      </c>
      <c r="E231">
        <v>1</v>
      </c>
      <c r="F231" s="7">
        <f>IF(AND(Table1[[#This Row],[Predicted Outcome]]=1,Table1[[#This Row],[Actual Outcome]]=1),1,0)</f>
        <v>0</v>
      </c>
      <c r="G231" cm="1">
        <f t="array" ref="G231">_xlfn.XLOOKUP(MAX(IF(Table2[Probability_Default]&lt;Table1[[#This Row],[Probability_Default]],Table2[Probability_Default])),Table2[Probability_Default],Table2[Decile],0)</f>
        <v>4</v>
      </c>
    </row>
    <row r="232" spans="1:7" x14ac:dyDescent="0.2">
      <c r="A232">
        <v>102</v>
      </c>
      <c r="B232">
        <v>0</v>
      </c>
      <c r="C232" s="2">
        <v>0.35022183900291098</v>
      </c>
      <c r="D232" s="2">
        <v>0.64977816099708796</v>
      </c>
      <c r="E232">
        <v>1</v>
      </c>
      <c r="F232" s="7">
        <f>IF(AND(Table1[[#This Row],[Predicted Outcome]]=1,Table1[[#This Row],[Actual Outcome]]=1),1,0)</f>
        <v>0</v>
      </c>
      <c r="G232" cm="1">
        <f t="array" ref="G232">_xlfn.XLOOKUP(MAX(IF(Table2[Probability_Default]&lt;Table1[[#This Row],[Probability_Default]],Table2[Probability_Default])),Table2[Probability_Default],Table2[Decile],0)</f>
        <v>4</v>
      </c>
    </row>
    <row r="233" spans="1:7" x14ac:dyDescent="0.2">
      <c r="A233">
        <v>111</v>
      </c>
      <c r="B233">
        <v>0</v>
      </c>
      <c r="C233" s="2">
        <v>0.351634587736596</v>
      </c>
      <c r="D233" s="2">
        <v>0.64836541226340305</v>
      </c>
      <c r="E233">
        <v>1</v>
      </c>
      <c r="F233" s="7">
        <f>IF(AND(Table1[[#This Row],[Predicted Outcome]]=1,Table1[[#This Row],[Actual Outcome]]=1),1,0)</f>
        <v>0</v>
      </c>
      <c r="G233" cm="1">
        <f t="array" ref="G233">_xlfn.XLOOKUP(MAX(IF(Table2[Probability_Default]&lt;Table1[[#This Row],[Probability_Default]],Table2[Probability_Default])),Table2[Probability_Default],Table2[Decile],0)</f>
        <v>4</v>
      </c>
    </row>
    <row r="234" spans="1:7" x14ac:dyDescent="0.2">
      <c r="A234">
        <v>297</v>
      </c>
      <c r="B234">
        <v>1</v>
      </c>
      <c r="C234" s="2">
        <v>0.35419913857142499</v>
      </c>
      <c r="D234" s="2">
        <v>0.64580086142857396</v>
      </c>
      <c r="E234">
        <v>1</v>
      </c>
      <c r="F234" s="7">
        <f>IF(AND(Table1[[#This Row],[Predicted Outcome]]=1,Table1[[#This Row],[Actual Outcome]]=1),1,0)</f>
        <v>1</v>
      </c>
      <c r="G234" cm="1">
        <f t="array" ref="G234">_xlfn.XLOOKUP(MAX(IF(Table2[Probability_Default]&lt;Table1[[#This Row],[Probability_Default]],Table2[Probability_Default])),Table2[Probability_Default],Table2[Decile],0)</f>
        <v>4</v>
      </c>
    </row>
    <row r="235" spans="1:7" x14ac:dyDescent="0.2">
      <c r="A235">
        <v>138</v>
      </c>
      <c r="B235">
        <v>1</v>
      </c>
      <c r="C235" s="2">
        <v>0.35504389074395398</v>
      </c>
      <c r="D235" s="2">
        <v>0.64495610925604496</v>
      </c>
      <c r="E235">
        <v>1</v>
      </c>
      <c r="F235" s="7">
        <f>IF(AND(Table1[[#This Row],[Predicted Outcome]]=1,Table1[[#This Row],[Actual Outcome]]=1),1,0)</f>
        <v>1</v>
      </c>
      <c r="G235" cm="1">
        <f t="array" ref="G235">_xlfn.XLOOKUP(MAX(IF(Table2[Probability_Default]&lt;Table1[[#This Row],[Probability_Default]],Table2[Probability_Default])),Table2[Probability_Default],Table2[Decile],0)</f>
        <v>4</v>
      </c>
    </row>
    <row r="236" spans="1:7" x14ac:dyDescent="0.2">
      <c r="A236">
        <v>258</v>
      </c>
      <c r="B236">
        <v>1</v>
      </c>
      <c r="C236" s="2">
        <v>0.35882112486155499</v>
      </c>
      <c r="D236" s="2">
        <v>0.64117887513844496</v>
      </c>
      <c r="E236">
        <v>1</v>
      </c>
      <c r="F236" s="7">
        <f>IF(AND(Table1[[#This Row],[Predicted Outcome]]=1,Table1[[#This Row],[Actual Outcome]]=1),1,0)</f>
        <v>1</v>
      </c>
      <c r="G236" cm="1">
        <f t="array" ref="G236">_xlfn.XLOOKUP(MAX(IF(Table2[Probability_Default]&lt;Table1[[#This Row],[Probability_Default]],Table2[Probability_Default])),Table2[Probability_Default],Table2[Decile],0)</f>
        <v>4</v>
      </c>
    </row>
    <row r="237" spans="1:7" x14ac:dyDescent="0.2">
      <c r="A237">
        <v>198</v>
      </c>
      <c r="B237">
        <v>1</v>
      </c>
      <c r="C237" s="2">
        <v>0.36020230592508801</v>
      </c>
      <c r="D237" s="2">
        <v>0.63979769407491105</v>
      </c>
      <c r="E237">
        <v>1</v>
      </c>
      <c r="F237" s="7">
        <f>IF(AND(Table1[[#This Row],[Predicted Outcome]]=1,Table1[[#This Row],[Actual Outcome]]=1),1,0)</f>
        <v>1</v>
      </c>
      <c r="G237" cm="1">
        <f t="array" ref="G237">_xlfn.XLOOKUP(MAX(IF(Table2[Probability_Default]&lt;Table1[[#This Row],[Probability_Default]],Table2[Probability_Default])),Table2[Probability_Default],Table2[Decile],0)</f>
        <v>4</v>
      </c>
    </row>
    <row r="238" spans="1:7" x14ac:dyDescent="0.2">
      <c r="A238">
        <v>129</v>
      </c>
      <c r="B238">
        <v>1</v>
      </c>
      <c r="C238" s="2">
        <v>0.360303582094679</v>
      </c>
      <c r="D238" s="2">
        <v>0.63969641790532095</v>
      </c>
      <c r="E238">
        <v>1</v>
      </c>
      <c r="F238" s="7">
        <f>IF(AND(Table1[[#This Row],[Predicted Outcome]]=1,Table1[[#This Row],[Actual Outcome]]=1),1,0)</f>
        <v>1</v>
      </c>
      <c r="G238" cm="1">
        <f t="array" ref="G238">_xlfn.XLOOKUP(MAX(IF(Table2[Probability_Default]&lt;Table1[[#This Row],[Probability_Default]],Table2[Probability_Default])),Table2[Probability_Default],Table2[Decile],0)</f>
        <v>4</v>
      </c>
    </row>
    <row r="239" spans="1:7" x14ac:dyDescent="0.2">
      <c r="A239">
        <v>381</v>
      </c>
      <c r="B239">
        <v>1</v>
      </c>
      <c r="C239" s="2">
        <v>0.360801501137202</v>
      </c>
      <c r="D239" s="2">
        <v>0.639198498862797</v>
      </c>
      <c r="E239">
        <v>1</v>
      </c>
      <c r="F239" s="7">
        <f>IF(AND(Table1[[#This Row],[Predicted Outcome]]=1,Table1[[#This Row],[Actual Outcome]]=1),1,0)</f>
        <v>1</v>
      </c>
      <c r="G239" cm="1">
        <f t="array" ref="G239">_xlfn.XLOOKUP(MAX(IF(Table2[Probability_Default]&lt;Table1[[#This Row],[Probability_Default]],Table2[Probability_Default])),Table2[Probability_Default],Table2[Decile],0)</f>
        <v>4</v>
      </c>
    </row>
    <row r="240" spans="1:7" x14ac:dyDescent="0.2">
      <c r="A240">
        <v>206</v>
      </c>
      <c r="B240">
        <v>1</v>
      </c>
      <c r="C240" s="2">
        <v>0.36187059885015399</v>
      </c>
      <c r="D240" s="2">
        <v>0.63812940114984495</v>
      </c>
      <c r="E240">
        <v>1</v>
      </c>
      <c r="F240" s="7">
        <f>IF(AND(Table1[[#This Row],[Predicted Outcome]]=1,Table1[[#This Row],[Actual Outcome]]=1),1,0)</f>
        <v>1</v>
      </c>
      <c r="G240" cm="1">
        <f t="array" ref="G240">_xlfn.XLOOKUP(MAX(IF(Table2[Probability_Default]&lt;Table1[[#This Row],[Probability_Default]],Table2[Probability_Default])),Table2[Probability_Default],Table2[Decile],0)</f>
        <v>4</v>
      </c>
    </row>
    <row r="241" spans="1:7" x14ac:dyDescent="0.2">
      <c r="A241">
        <v>383</v>
      </c>
      <c r="B241">
        <v>0</v>
      </c>
      <c r="C241" s="2">
        <v>0.36242433927902501</v>
      </c>
      <c r="D241" s="2">
        <v>0.63757566072097405</v>
      </c>
      <c r="E241">
        <v>1</v>
      </c>
      <c r="F241" s="7">
        <f>IF(AND(Table1[[#This Row],[Predicted Outcome]]=1,Table1[[#This Row],[Actual Outcome]]=1),1,0)</f>
        <v>0</v>
      </c>
      <c r="G241" cm="1">
        <f t="array" ref="G241">_xlfn.XLOOKUP(MAX(IF(Table2[Probability_Default]&lt;Table1[[#This Row],[Probability_Default]],Table2[Probability_Default])),Table2[Probability_Default],Table2[Decile],0)</f>
        <v>4</v>
      </c>
    </row>
    <row r="242" spans="1:7" x14ac:dyDescent="0.2">
      <c r="A242">
        <v>79</v>
      </c>
      <c r="B242">
        <v>1</v>
      </c>
      <c r="C242" s="2">
        <v>0.36519773535169497</v>
      </c>
      <c r="D242" s="2">
        <v>0.63480226464830403</v>
      </c>
      <c r="E242">
        <v>1</v>
      </c>
      <c r="F242" s="7">
        <f>IF(AND(Table1[[#This Row],[Predicted Outcome]]=1,Table1[[#This Row],[Actual Outcome]]=1),1,0)</f>
        <v>1</v>
      </c>
      <c r="G242" cm="1">
        <f t="array" ref="G242">_xlfn.XLOOKUP(MAX(IF(Table2[Probability_Default]&lt;Table1[[#This Row],[Probability_Default]],Table2[Probability_Default])),Table2[Probability_Default],Table2[Decile],0)</f>
        <v>3</v>
      </c>
    </row>
    <row r="243" spans="1:7" x14ac:dyDescent="0.2">
      <c r="A243">
        <v>174</v>
      </c>
      <c r="B243">
        <v>1</v>
      </c>
      <c r="C243" s="2">
        <v>0.36717398424111303</v>
      </c>
      <c r="D243" s="2">
        <v>0.63282601575888597</v>
      </c>
      <c r="E243">
        <v>1</v>
      </c>
      <c r="F243" s="7">
        <f>IF(AND(Table1[[#This Row],[Predicted Outcome]]=1,Table1[[#This Row],[Actual Outcome]]=1),1,0)</f>
        <v>1</v>
      </c>
      <c r="G243" cm="1">
        <f t="array" ref="G243">_xlfn.XLOOKUP(MAX(IF(Table2[Probability_Default]&lt;Table1[[#This Row],[Probability_Default]],Table2[Probability_Default])),Table2[Probability_Default],Table2[Decile],0)</f>
        <v>3</v>
      </c>
    </row>
    <row r="244" spans="1:7" x14ac:dyDescent="0.2">
      <c r="A244">
        <v>214</v>
      </c>
      <c r="B244">
        <v>1</v>
      </c>
      <c r="C244" s="2">
        <v>0.37246639873509901</v>
      </c>
      <c r="D244" s="2">
        <v>0.62753360126489999</v>
      </c>
      <c r="E244">
        <v>1</v>
      </c>
      <c r="F244" s="7">
        <f>IF(AND(Table1[[#This Row],[Predicted Outcome]]=1,Table1[[#This Row],[Actual Outcome]]=1),1,0)</f>
        <v>1</v>
      </c>
      <c r="G244" cm="1">
        <f t="array" ref="G244">_xlfn.XLOOKUP(MAX(IF(Table2[Probability_Default]&lt;Table1[[#This Row],[Probability_Default]],Table2[Probability_Default])),Table2[Probability_Default],Table2[Decile],0)</f>
        <v>3</v>
      </c>
    </row>
    <row r="245" spans="1:7" x14ac:dyDescent="0.2">
      <c r="A245">
        <v>2</v>
      </c>
      <c r="B245">
        <v>1</v>
      </c>
      <c r="C245" s="2">
        <v>0.37313482853214602</v>
      </c>
      <c r="D245" s="2">
        <v>0.62686517146785303</v>
      </c>
      <c r="E245">
        <v>1</v>
      </c>
      <c r="F245" s="7">
        <f>IF(AND(Table1[[#This Row],[Predicted Outcome]]=1,Table1[[#This Row],[Actual Outcome]]=1),1,0)</f>
        <v>1</v>
      </c>
      <c r="G245" cm="1">
        <f t="array" ref="G245">_xlfn.XLOOKUP(MAX(IF(Table2[Probability_Default]&lt;Table1[[#This Row],[Probability_Default]],Table2[Probability_Default])),Table2[Probability_Default],Table2[Decile],0)</f>
        <v>3</v>
      </c>
    </row>
    <row r="246" spans="1:7" x14ac:dyDescent="0.2">
      <c r="A246">
        <v>323</v>
      </c>
      <c r="B246">
        <v>1</v>
      </c>
      <c r="C246" s="2">
        <v>0.37448994398639801</v>
      </c>
      <c r="D246" s="2">
        <v>0.62551005601360199</v>
      </c>
      <c r="E246">
        <v>1</v>
      </c>
      <c r="F246" s="7">
        <f>IF(AND(Table1[[#This Row],[Predicted Outcome]]=1,Table1[[#This Row],[Actual Outcome]]=1),1,0)</f>
        <v>1</v>
      </c>
      <c r="G246" cm="1">
        <f t="array" ref="G246">_xlfn.XLOOKUP(MAX(IF(Table2[Probability_Default]&lt;Table1[[#This Row],[Probability_Default]],Table2[Probability_Default])),Table2[Probability_Default],Table2[Decile],0)</f>
        <v>3</v>
      </c>
    </row>
    <row r="247" spans="1:7" x14ac:dyDescent="0.2">
      <c r="A247">
        <v>209</v>
      </c>
      <c r="B247">
        <v>1</v>
      </c>
      <c r="C247" s="2">
        <v>0.37480688782848398</v>
      </c>
      <c r="D247" s="2">
        <v>0.62519311217151496</v>
      </c>
      <c r="E247">
        <v>1</v>
      </c>
      <c r="F247" s="7">
        <f>IF(AND(Table1[[#This Row],[Predicted Outcome]]=1,Table1[[#This Row],[Actual Outcome]]=1),1,0)</f>
        <v>1</v>
      </c>
      <c r="G247" cm="1">
        <f t="array" ref="G247">_xlfn.XLOOKUP(MAX(IF(Table2[Probability_Default]&lt;Table1[[#This Row],[Probability_Default]],Table2[Probability_Default])),Table2[Probability_Default],Table2[Decile],0)</f>
        <v>3</v>
      </c>
    </row>
    <row r="248" spans="1:7" x14ac:dyDescent="0.2">
      <c r="A248">
        <v>19</v>
      </c>
      <c r="B248">
        <v>1</v>
      </c>
      <c r="C248" s="2">
        <v>0.37533076811223998</v>
      </c>
      <c r="D248" s="2">
        <v>0.62466923188775902</v>
      </c>
      <c r="E248">
        <v>1</v>
      </c>
      <c r="F248" s="7">
        <f>IF(AND(Table1[[#This Row],[Predicted Outcome]]=1,Table1[[#This Row],[Actual Outcome]]=1),1,0)</f>
        <v>1</v>
      </c>
      <c r="G248" cm="1">
        <f t="array" ref="G248">_xlfn.XLOOKUP(MAX(IF(Table2[Probability_Default]&lt;Table1[[#This Row],[Probability_Default]],Table2[Probability_Default])),Table2[Probability_Default],Table2[Decile],0)</f>
        <v>3</v>
      </c>
    </row>
    <row r="249" spans="1:7" x14ac:dyDescent="0.2">
      <c r="A249">
        <v>119</v>
      </c>
      <c r="B249">
        <v>0</v>
      </c>
      <c r="C249" s="2">
        <v>0.37614659168917403</v>
      </c>
      <c r="D249" s="2">
        <v>0.62385340831082503</v>
      </c>
      <c r="E249">
        <v>1</v>
      </c>
      <c r="F249" s="7">
        <f>IF(AND(Table1[[#This Row],[Predicted Outcome]]=1,Table1[[#This Row],[Actual Outcome]]=1),1,0)</f>
        <v>0</v>
      </c>
      <c r="G249" cm="1">
        <f t="array" ref="G249">_xlfn.XLOOKUP(MAX(IF(Table2[Probability_Default]&lt;Table1[[#This Row],[Probability_Default]],Table2[Probability_Default])),Table2[Probability_Default],Table2[Decile],0)</f>
        <v>3</v>
      </c>
    </row>
    <row r="250" spans="1:7" x14ac:dyDescent="0.2">
      <c r="A250">
        <v>103</v>
      </c>
      <c r="B250">
        <v>1</v>
      </c>
      <c r="C250" s="2">
        <v>0.37900338060171501</v>
      </c>
      <c r="D250" s="2">
        <v>0.62099661939828399</v>
      </c>
      <c r="E250">
        <v>1</v>
      </c>
      <c r="F250" s="7">
        <f>IF(AND(Table1[[#This Row],[Predicted Outcome]]=1,Table1[[#This Row],[Actual Outcome]]=1),1,0)</f>
        <v>1</v>
      </c>
      <c r="G250" cm="1">
        <f t="array" ref="G250">_xlfn.XLOOKUP(MAX(IF(Table2[Probability_Default]&lt;Table1[[#This Row],[Probability_Default]],Table2[Probability_Default])),Table2[Probability_Default],Table2[Decile],0)</f>
        <v>3</v>
      </c>
    </row>
    <row r="251" spans="1:7" x14ac:dyDescent="0.2">
      <c r="A251">
        <v>231</v>
      </c>
      <c r="B251">
        <v>1</v>
      </c>
      <c r="C251" s="2">
        <v>0.38145424209809498</v>
      </c>
      <c r="D251" s="2">
        <v>0.61854575790190403</v>
      </c>
      <c r="E251">
        <v>1</v>
      </c>
      <c r="F251" s="7">
        <f>IF(AND(Table1[[#This Row],[Predicted Outcome]]=1,Table1[[#This Row],[Actual Outcome]]=1),1,0)</f>
        <v>1</v>
      </c>
      <c r="G251" cm="1">
        <f t="array" ref="G251">_xlfn.XLOOKUP(MAX(IF(Table2[Probability_Default]&lt;Table1[[#This Row],[Probability_Default]],Table2[Probability_Default])),Table2[Probability_Default],Table2[Decile],0)</f>
        <v>3</v>
      </c>
    </row>
    <row r="252" spans="1:7" x14ac:dyDescent="0.2">
      <c r="A252">
        <v>253</v>
      </c>
      <c r="B252">
        <v>1</v>
      </c>
      <c r="C252" s="2">
        <v>0.38408044177670497</v>
      </c>
      <c r="D252" s="2">
        <v>0.61591955822329403</v>
      </c>
      <c r="E252">
        <v>1</v>
      </c>
      <c r="F252" s="7">
        <f>IF(AND(Table1[[#This Row],[Predicted Outcome]]=1,Table1[[#This Row],[Actual Outcome]]=1),1,0)</f>
        <v>1</v>
      </c>
      <c r="G252" cm="1">
        <f t="array" ref="G252">_xlfn.XLOOKUP(MAX(IF(Table2[Probability_Default]&lt;Table1[[#This Row],[Probability_Default]],Table2[Probability_Default])),Table2[Probability_Default],Table2[Decile],0)</f>
        <v>3</v>
      </c>
    </row>
    <row r="253" spans="1:7" x14ac:dyDescent="0.2">
      <c r="A253">
        <v>370</v>
      </c>
      <c r="B253">
        <v>1</v>
      </c>
      <c r="C253" s="2">
        <v>0.38412705961094001</v>
      </c>
      <c r="D253" s="2">
        <v>0.61587294038905904</v>
      </c>
      <c r="E253">
        <v>1</v>
      </c>
      <c r="F253" s="7">
        <f>IF(AND(Table1[[#This Row],[Predicted Outcome]]=1,Table1[[#This Row],[Actual Outcome]]=1),1,0)</f>
        <v>1</v>
      </c>
      <c r="G253" cm="1">
        <f t="array" ref="G253">_xlfn.XLOOKUP(MAX(IF(Table2[Probability_Default]&lt;Table1[[#This Row],[Probability_Default]],Table2[Probability_Default])),Table2[Probability_Default],Table2[Decile],0)</f>
        <v>3</v>
      </c>
    </row>
    <row r="254" spans="1:7" x14ac:dyDescent="0.2">
      <c r="A254">
        <v>86</v>
      </c>
      <c r="B254">
        <v>1</v>
      </c>
      <c r="C254" s="2">
        <v>0.38874413422845</v>
      </c>
      <c r="D254" s="2">
        <v>0.611255865771549</v>
      </c>
      <c r="E254">
        <v>1</v>
      </c>
      <c r="F254" s="7">
        <f>IF(AND(Table1[[#This Row],[Predicted Outcome]]=1,Table1[[#This Row],[Actual Outcome]]=1),1,0)</f>
        <v>1</v>
      </c>
      <c r="G254" cm="1">
        <f t="array" ref="G254">_xlfn.XLOOKUP(MAX(IF(Table2[Probability_Default]&lt;Table1[[#This Row],[Probability_Default]],Table2[Probability_Default])),Table2[Probability_Default],Table2[Decile],0)</f>
        <v>3</v>
      </c>
    </row>
    <row r="255" spans="1:7" x14ac:dyDescent="0.2">
      <c r="A255">
        <v>40</v>
      </c>
      <c r="B255">
        <v>0</v>
      </c>
      <c r="C255" s="2">
        <v>0.38915530580473101</v>
      </c>
      <c r="D255" s="2">
        <v>0.61084469419526799</v>
      </c>
      <c r="E255">
        <v>1</v>
      </c>
      <c r="F255" s="7">
        <f>IF(AND(Table1[[#This Row],[Predicted Outcome]]=1,Table1[[#This Row],[Actual Outcome]]=1),1,0)</f>
        <v>0</v>
      </c>
      <c r="G255" cm="1">
        <f t="array" ref="G255">_xlfn.XLOOKUP(MAX(IF(Table2[Probability_Default]&lt;Table1[[#This Row],[Probability_Default]],Table2[Probability_Default])),Table2[Probability_Default],Table2[Decile],0)</f>
        <v>3</v>
      </c>
    </row>
    <row r="256" spans="1:7" x14ac:dyDescent="0.2">
      <c r="A256">
        <v>154</v>
      </c>
      <c r="B256">
        <v>0</v>
      </c>
      <c r="C256" s="2">
        <v>0.38965652511280502</v>
      </c>
      <c r="D256" s="2">
        <v>0.61034347488719398</v>
      </c>
      <c r="E256">
        <v>1</v>
      </c>
      <c r="F256" s="7">
        <f>IF(AND(Table1[[#This Row],[Predicted Outcome]]=1,Table1[[#This Row],[Actual Outcome]]=1),1,0)</f>
        <v>0</v>
      </c>
      <c r="G256" cm="1">
        <f t="array" ref="G256">_xlfn.XLOOKUP(MAX(IF(Table2[Probability_Default]&lt;Table1[[#This Row],[Probability_Default]],Table2[Probability_Default])),Table2[Probability_Default],Table2[Decile],0)</f>
        <v>3</v>
      </c>
    </row>
    <row r="257" spans="1:7" x14ac:dyDescent="0.2">
      <c r="A257">
        <v>146</v>
      </c>
      <c r="B257">
        <v>1</v>
      </c>
      <c r="C257" s="2">
        <v>0.39271216693817601</v>
      </c>
      <c r="D257" s="2">
        <v>0.60728783306182299</v>
      </c>
      <c r="E257">
        <v>1</v>
      </c>
      <c r="F257" s="7">
        <f>IF(AND(Table1[[#This Row],[Predicted Outcome]]=1,Table1[[#This Row],[Actual Outcome]]=1),1,0)</f>
        <v>1</v>
      </c>
      <c r="G257" cm="1">
        <f t="array" ref="G257">_xlfn.XLOOKUP(MAX(IF(Table2[Probability_Default]&lt;Table1[[#This Row],[Probability_Default]],Table2[Probability_Default])),Table2[Probability_Default],Table2[Decile],0)</f>
        <v>3</v>
      </c>
    </row>
    <row r="258" spans="1:7" x14ac:dyDescent="0.2">
      <c r="A258">
        <v>386</v>
      </c>
      <c r="B258">
        <v>0</v>
      </c>
      <c r="C258" s="2">
        <v>0.39290176906390001</v>
      </c>
      <c r="D258" s="2">
        <v>0.60709823093609905</v>
      </c>
      <c r="E258">
        <v>1</v>
      </c>
      <c r="F258" s="7">
        <f>IF(AND(Table1[[#This Row],[Predicted Outcome]]=1,Table1[[#This Row],[Actual Outcome]]=1),1,0)</f>
        <v>0</v>
      </c>
      <c r="G258" cm="1">
        <f t="array" ref="G258">_xlfn.XLOOKUP(MAX(IF(Table2[Probability_Default]&lt;Table1[[#This Row],[Probability_Default]],Table2[Probability_Default])),Table2[Probability_Default],Table2[Decile],0)</f>
        <v>3</v>
      </c>
    </row>
    <row r="259" spans="1:7" x14ac:dyDescent="0.2">
      <c r="A259">
        <v>49</v>
      </c>
      <c r="B259">
        <v>1</v>
      </c>
      <c r="C259" s="2">
        <v>0.40276566195411301</v>
      </c>
      <c r="D259" s="2">
        <v>0.59723433804588599</v>
      </c>
      <c r="E259">
        <v>1</v>
      </c>
      <c r="F259" s="7">
        <f>IF(AND(Table1[[#This Row],[Predicted Outcome]]=1,Table1[[#This Row],[Actual Outcome]]=1),1,0)</f>
        <v>1</v>
      </c>
      <c r="G259" cm="1">
        <f t="array" ref="G259">_xlfn.XLOOKUP(MAX(IF(Table2[Probability_Default]&lt;Table1[[#This Row],[Probability_Default]],Table2[Probability_Default])),Table2[Probability_Default],Table2[Decile],0)</f>
        <v>3</v>
      </c>
    </row>
    <row r="260" spans="1:7" x14ac:dyDescent="0.2">
      <c r="A260">
        <v>256</v>
      </c>
      <c r="B260">
        <v>1</v>
      </c>
      <c r="C260" s="2">
        <v>0.403148640243434</v>
      </c>
      <c r="D260" s="2">
        <v>0.596851359756565</v>
      </c>
      <c r="E260">
        <v>1</v>
      </c>
      <c r="F260" s="7">
        <f>IF(AND(Table1[[#This Row],[Predicted Outcome]]=1,Table1[[#This Row],[Actual Outcome]]=1),1,0)</f>
        <v>1</v>
      </c>
      <c r="G260" cm="1">
        <f t="array" ref="G260">_xlfn.XLOOKUP(MAX(IF(Table2[Probability_Default]&lt;Table1[[#This Row],[Probability_Default]],Table2[Probability_Default])),Table2[Probability_Default],Table2[Decile],0)</f>
        <v>3</v>
      </c>
    </row>
    <row r="261" spans="1:7" x14ac:dyDescent="0.2">
      <c r="A261">
        <v>299</v>
      </c>
      <c r="B261">
        <v>0</v>
      </c>
      <c r="C261" s="2">
        <v>0.40467611180049401</v>
      </c>
      <c r="D261" s="2">
        <v>0.59532388819950499</v>
      </c>
      <c r="E261">
        <v>1</v>
      </c>
      <c r="F261" s="7">
        <f>IF(AND(Table1[[#This Row],[Predicted Outcome]]=1,Table1[[#This Row],[Actual Outcome]]=1),1,0)</f>
        <v>0</v>
      </c>
      <c r="G261" cm="1">
        <f t="array" ref="G261">_xlfn.XLOOKUP(MAX(IF(Table2[Probability_Default]&lt;Table1[[#This Row],[Probability_Default]],Table2[Probability_Default])),Table2[Probability_Default],Table2[Decile],0)</f>
        <v>3</v>
      </c>
    </row>
    <row r="262" spans="1:7" x14ac:dyDescent="0.2">
      <c r="A262">
        <v>96</v>
      </c>
      <c r="B262">
        <v>1</v>
      </c>
      <c r="C262" s="2">
        <v>0.404889617997508</v>
      </c>
      <c r="D262" s="2">
        <v>0.595110382002491</v>
      </c>
      <c r="E262">
        <v>1</v>
      </c>
      <c r="F262" s="7">
        <f>IF(AND(Table1[[#This Row],[Predicted Outcome]]=1,Table1[[#This Row],[Actual Outcome]]=1),1,0)</f>
        <v>1</v>
      </c>
      <c r="G262" cm="1">
        <f t="array" ref="G262">_xlfn.XLOOKUP(MAX(IF(Table2[Probability_Default]&lt;Table1[[#This Row],[Probability_Default]],Table2[Probability_Default])),Table2[Probability_Default],Table2[Decile],0)</f>
        <v>3</v>
      </c>
    </row>
    <row r="263" spans="1:7" x14ac:dyDescent="0.2">
      <c r="A263">
        <v>277</v>
      </c>
      <c r="B263">
        <v>1</v>
      </c>
      <c r="C263" s="2">
        <v>0.406092544147795</v>
      </c>
      <c r="D263" s="2">
        <v>0.59390745585220395</v>
      </c>
      <c r="E263">
        <v>1</v>
      </c>
      <c r="F263" s="7">
        <f>IF(AND(Table1[[#This Row],[Predicted Outcome]]=1,Table1[[#This Row],[Actual Outcome]]=1),1,0)</f>
        <v>1</v>
      </c>
      <c r="G263" cm="1">
        <f t="array" ref="G263">_xlfn.XLOOKUP(MAX(IF(Table2[Probability_Default]&lt;Table1[[#This Row],[Probability_Default]],Table2[Probability_Default])),Table2[Probability_Default],Table2[Decile],0)</f>
        <v>3</v>
      </c>
    </row>
    <row r="264" spans="1:7" x14ac:dyDescent="0.2">
      <c r="A264">
        <v>78</v>
      </c>
      <c r="B264">
        <v>1</v>
      </c>
      <c r="C264" s="2">
        <v>0.40677009417979199</v>
      </c>
      <c r="D264" s="2">
        <v>0.59322990582020696</v>
      </c>
      <c r="E264">
        <v>1</v>
      </c>
      <c r="F264" s="7">
        <f>IF(AND(Table1[[#This Row],[Predicted Outcome]]=1,Table1[[#This Row],[Actual Outcome]]=1),1,0)</f>
        <v>1</v>
      </c>
      <c r="G264" cm="1">
        <f t="array" ref="G264">_xlfn.XLOOKUP(MAX(IF(Table2[Probability_Default]&lt;Table1[[#This Row],[Probability_Default]],Table2[Probability_Default])),Table2[Probability_Default],Table2[Decile],0)</f>
        <v>3</v>
      </c>
    </row>
    <row r="265" spans="1:7" x14ac:dyDescent="0.2">
      <c r="A265">
        <v>300</v>
      </c>
      <c r="B265">
        <v>1</v>
      </c>
      <c r="C265" s="2">
        <v>0.40703652695507297</v>
      </c>
      <c r="D265" s="2">
        <v>0.59296347304492603</v>
      </c>
      <c r="E265">
        <v>1</v>
      </c>
      <c r="F265" s="7">
        <f>IF(AND(Table1[[#This Row],[Predicted Outcome]]=1,Table1[[#This Row],[Actual Outcome]]=1),1,0)</f>
        <v>1</v>
      </c>
      <c r="G265" cm="1">
        <f t="array" ref="G265">_xlfn.XLOOKUP(MAX(IF(Table2[Probability_Default]&lt;Table1[[#This Row],[Probability_Default]],Table2[Probability_Default])),Table2[Probability_Default],Table2[Decile],0)</f>
        <v>3</v>
      </c>
    </row>
    <row r="266" spans="1:7" x14ac:dyDescent="0.2">
      <c r="A266">
        <v>312</v>
      </c>
      <c r="B266">
        <v>0</v>
      </c>
      <c r="C266" s="2">
        <v>0.40983085955818799</v>
      </c>
      <c r="D266" s="2">
        <v>0.59016914044181101</v>
      </c>
      <c r="E266">
        <v>1</v>
      </c>
      <c r="F266" s="7">
        <f>IF(AND(Table1[[#This Row],[Predicted Outcome]]=1,Table1[[#This Row],[Actual Outcome]]=1),1,0)</f>
        <v>0</v>
      </c>
      <c r="G266" cm="1">
        <f t="array" ref="G266">_xlfn.XLOOKUP(MAX(IF(Table2[Probability_Default]&lt;Table1[[#This Row],[Probability_Default]],Table2[Probability_Default])),Table2[Probability_Default],Table2[Decile],0)</f>
        <v>3</v>
      </c>
    </row>
    <row r="267" spans="1:7" x14ac:dyDescent="0.2">
      <c r="A267">
        <v>361</v>
      </c>
      <c r="B267">
        <v>1</v>
      </c>
      <c r="C267" s="2">
        <v>0.41009599632030103</v>
      </c>
      <c r="D267" s="2">
        <v>0.58990400367969797</v>
      </c>
      <c r="E267">
        <v>1</v>
      </c>
      <c r="F267" s="7">
        <f>IF(AND(Table1[[#This Row],[Predicted Outcome]]=1,Table1[[#This Row],[Actual Outcome]]=1),1,0)</f>
        <v>1</v>
      </c>
      <c r="G267" cm="1">
        <f t="array" ref="G267">_xlfn.XLOOKUP(MAX(IF(Table2[Probability_Default]&lt;Table1[[#This Row],[Probability_Default]],Table2[Probability_Default])),Table2[Probability_Default],Table2[Decile],0)</f>
        <v>3</v>
      </c>
    </row>
    <row r="268" spans="1:7" x14ac:dyDescent="0.2">
      <c r="A268">
        <v>26</v>
      </c>
      <c r="B268">
        <v>1</v>
      </c>
      <c r="C268" s="2">
        <v>0.41040746297325498</v>
      </c>
      <c r="D268" s="2">
        <v>0.58959253702674397</v>
      </c>
      <c r="E268">
        <v>1</v>
      </c>
      <c r="F268" s="7">
        <f>IF(AND(Table1[[#This Row],[Predicted Outcome]]=1,Table1[[#This Row],[Actual Outcome]]=1),1,0)</f>
        <v>1</v>
      </c>
      <c r="G268" cm="1">
        <f t="array" ref="G268">_xlfn.XLOOKUP(MAX(IF(Table2[Probability_Default]&lt;Table1[[#This Row],[Probability_Default]],Table2[Probability_Default])),Table2[Probability_Default],Table2[Decile],0)</f>
        <v>3</v>
      </c>
    </row>
    <row r="269" spans="1:7" x14ac:dyDescent="0.2">
      <c r="A269">
        <v>186</v>
      </c>
      <c r="B269">
        <v>1</v>
      </c>
      <c r="C269" s="2">
        <v>0.41506780110979002</v>
      </c>
      <c r="D269" s="2">
        <v>0.58493219889020898</v>
      </c>
      <c r="E269">
        <v>1</v>
      </c>
      <c r="F269" s="7">
        <f>IF(AND(Table1[[#This Row],[Predicted Outcome]]=1,Table1[[#This Row],[Actual Outcome]]=1),1,0)</f>
        <v>1</v>
      </c>
      <c r="G269" cm="1">
        <f t="array" ref="G269">_xlfn.XLOOKUP(MAX(IF(Table2[Probability_Default]&lt;Table1[[#This Row],[Probability_Default]],Table2[Probability_Default])),Table2[Probability_Default],Table2[Decile],0)</f>
        <v>3</v>
      </c>
    </row>
    <row r="270" spans="1:7" x14ac:dyDescent="0.2">
      <c r="A270">
        <v>227</v>
      </c>
      <c r="B270">
        <v>1</v>
      </c>
      <c r="C270" s="2">
        <v>0.41692655978883802</v>
      </c>
      <c r="D270" s="2">
        <v>0.58307344021116103</v>
      </c>
      <c r="E270">
        <v>1</v>
      </c>
      <c r="F270" s="7">
        <f>IF(AND(Table1[[#This Row],[Predicted Outcome]]=1,Table1[[#This Row],[Actual Outcome]]=1),1,0)</f>
        <v>1</v>
      </c>
      <c r="G270" cm="1">
        <f t="array" ref="G270">_xlfn.XLOOKUP(MAX(IF(Table2[Probability_Default]&lt;Table1[[#This Row],[Probability_Default]],Table2[Probability_Default])),Table2[Probability_Default],Table2[Decile],0)</f>
        <v>3</v>
      </c>
    </row>
    <row r="271" spans="1:7" x14ac:dyDescent="0.2">
      <c r="A271">
        <v>188</v>
      </c>
      <c r="B271">
        <v>1</v>
      </c>
      <c r="C271" s="2">
        <v>0.419284441852046</v>
      </c>
      <c r="D271" s="2">
        <v>0.58071555814795295</v>
      </c>
      <c r="E271">
        <v>1</v>
      </c>
      <c r="F271" s="7">
        <f>IF(AND(Table1[[#This Row],[Predicted Outcome]]=1,Table1[[#This Row],[Actual Outcome]]=1),1,0)</f>
        <v>1</v>
      </c>
      <c r="G271" cm="1">
        <f t="array" ref="G271">_xlfn.XLOOKUP(MAX(IF(Table2[Probability_Default]&lt;Table1[[#This Row],[Probability_Default]],Table2[Probability_Default])),Table2[Probability_Default],Table2[Decile],0)</f>
        <v>3</v>
      </c>
    </row>
    <row r="272" spans="1:7" x14ac:dyDescent="0.2">
      <c r="A272">
        <v>316</v>
      </c>
      <c r="B272">
        <v>1</v>
      </c>
      <c r="C272" s="2">
        <v>0.41958265785267901</v>
      </c>
      <c r="D272" s="2">
        <v>0.58041734214731999</v>
      </c>
      <c r="E272">
        <v>1</v>
      </c>
      <c r="F272" s="7">
        <f>IF(AND(Table1[[#This Row],[Predicted Outcome]]=1,Table1[[#This Row],[Actual Outcome]]=1),1,0)</f>
        <v>1</v>
      </c>
      <c r="G272" cm="1">
        <f t="array" ref="G272">_xlfn.XLOOKUP(MAX(IF(Table2[Probability_Default]&lt;Table1[[#This Row],[Probability_Default]],Table2[Probability_Default])),Table2[Probability_Default],Table2[Decile],0)</f>
        <v>3</v>
      </c>
    </row>
    <row r="273" spans="1:7" x14ac:dyDescent="0.2">
      <c r="A273">
        <v>387</v>
      </c>
      <c r="B273">
        <v>0</v>
      </c>
      <c r="C273" s="2">
        <v>0.42061007803986</v>
      </c>
      <c r="D273" s="2">
        <v>0.57938992196013905</v>
      </c>
      <c r="E273">
        <v>1</v>
      </c>
      <c r="F273" s="7">
        <f>IF(AND(Table1[[#This Row],[Predicted Outcome]]=1,Table1[[#This Row],[Actual Outcome]]=1),1,0)</f>
        <v>0</v>
      </c>
      <c r="G273" cm="1">
        <f t="array" ref="G273">_xlfn.XLOOKUP(MAX(IF(Table2[Probability_Default]&lt;Table1[[#This Row],[Probability_Default]],Table2[Probability_Default])),Table2[Probability_Default],Table2[Decile],0)</f>
        <v>3</v>
      </c>
    </row>
    <row r="274" spans="1:7" x14ac:dyDescent="0.2">
      <c r="A274">
        <v>122</v>
      </c>
      <c r="B274">
        <v>0</v>
      </c>
      <c r="C274" s="2">
        <v>0.42084065872179399</v>
      </c>
      <c r="D274" s="2">
        <v>0.57915934127820501</v>
      </c>
      <c r="E274">
        <v>1</v>
      </c>
      <c r="F274" s="7">
        <f>IF(AND(Table1[[#This Row],[Predicted Outcome]]=1,Table1[[#This Row],[Actual Outcome]]=1),1,0)</f>
        <v>0</v>
      </c>
      <c r="G274" cm="1">
        <f t="array" ref="G274">_xlfn.XLOOKUP(MAX(IF(Table2[Probability_Default]&lt;Table1[[#This Row],[Probability_Default]],Table2[Probability_Default])),Table2[Probability_Default],Table2[Decile],0)</f>
        <v>3</v>
      </c>
    </row>
    <row r="275" spans="1:7" x14ac:dyDescent="0.2">
      <c r="A275">
        <v>20</v>
      </c>
      <c r="B275">
        <v>0</v>
      </c>
      <c r="C275" s="2">
        <v>0.420856120362121</v>
      </c>
      <c r="D275" s="2">
        <v>0.57914387963787795</v>
      </c>
      <c r="E275">
        <v>1</v>
      </c>
      <c r="F275" s="7">
        <f>IF(AND(Table1[[#This Row],[Predicted Outcome]]=1,Table1[[#This Row],[Actual Outcome]]=1),1,0)</f>
        <v>0</v>
      </c>
      <c r="G275" cm="1">
        <f t="array" ref="G275">_xlfn.XLOOKUP(MAX(IF(Table2[Probability_Default]&lt;Table1[[#This Row],[Probability_Default]],Table2[Probability_Default])),Table2[Probability_Default],Table2[Decile],0)</f>
        <v>3</v>
      </c>
    </row>
    <row r="276" spans="1:7" x14ac:dyDescent="0.2">
      <c r="A276">
        <v>319</v>
      </c>
      <c r="B276">
        <v>0</v>
      </c>
      <c r="C276" s="2">
        <v>0.42105988515153397</v>
      </c>
      <c r="D276" s="2">
        <v>0.57894011484846497</v>
      </c>
      <c r="E276">
        <v>1</v>
      </c>
      <c r="F276" s="7">
        <f>IF(AND(Table1[[#This Row],[Predicted Outcome]]=1,Table1[[#This Row],[Actual Outcome]]=1),1,0)</f>
        <v>0</v>
      </c>
      <c r="G276" cm="1">
        <f t="array" ref="G276">_xlfn.XLOOKUP(MAX(IF(Table2[Probability_Default]&lt;Table1[[#This Row],[Probability_Default]],Table2[Probability_Default])),Table2[Probability_Default],Table2[Decile],0)</f>
        <v>3</v>
      </c>
    </row>
    <row r="277" spans="1:7" x14ac:dyDescent="0.2">
      <c r="A277">
        <v>339</v>
      </c>
      <c r="B277">
        <v>1</v>
      </c>
      <c r="C277" s="2">
        <v>0.42802902753623201</v>
      </c>
      <c r="D277" s="2">
        <v>0.57197097246376705</v>
      </c>
      <c r="E277">
        <v>1</v>
      </c>
      <c r="F277" s="7">
        <f>IF(AND(Table1[[#This Row],[Predicted Outcome]]=1,Table1[[#This Row],[Actual Outcome]]=1),1,0)</f>
        <v>1</v>
      </c>
      <c r="G277" cm="1">
        <f t="array" ref="G277">_xlfn.XLOOKUP(MAX(IF(Table2[Probability_Default]&lt;Table1[[#This Row],[Probability_Default]],Table2[Probability_Default])),Table2[Probability_Default],Table2[Decile],0)</f>
        <v>3</v>
      </c>
    </row>
    <row r="278" spans="1:7" x14ac:dyDescent="0.2">
      <c r="A278">
        <v>63</v>
      </c>
      <c r="B278">
        <v>1</v>
      </c>
      <c r="C278" s="2">
        <v>0.431198767000112</v>
      </c>
      <c r="D278" s="2">
        <v>0.56880123299988705</v>
      </c>
      <c r="E278">
        <v>1</v>
      </c>
      <c r="F278" s="7">
        <f>IF(AND(Table1[[#This Row],[Predicted Outcome]]=1,Table1[[#This Row],[Actual Outcome]]=1),1,0)</f>
        <v>1</v>
      </c>
      <c r="G278" cm="1">
        <f t="array" ref="G278">_xlfn.XLOOKUP(MAX(IF(Table2[Probability_Default]&lt;Table1[[#This Row],[Probability_Default]],Table2[Probability_Default])),Table2[Probability_Default],Table2[Decile],0)</f>
        <v>3</v>
      </c>
    </row>
    <row r="279" spans="1:7" x14ac:dyDescent="0.2">
      <c r="A279">
        <v>350</v>
      </c>
      <c r="B279">
        <v>1</v>
      </c>
      <c r="C279" s="2">
        <v>0.43237789482669697</v>
      </c>
      <c r="D279" s="2">
        <v>0.56762210517330203</v>
      </c>
      <c r="E279">
        <v>1</v>
      </c>
      <c r="F279" s="7">
        <f>IF(AND(Table1[[#This Row],[Predicted Outcome]]=1,Table1[[#This Row],[Actual Outcome]]=1),1,0)</f>
        <v>1</v>
      </c>
      <c r="G279" cm="1">
        <f t="array" ref="G279">_xlfn.XLOOKUP(MAX(IF(Table2[Probability_Default]&lt;Table1[[#This Row],[Probability_Default]],Table2[Probability_Default])),Table2[Probability_Default],Table2[Decile],0)</f>
        <v>3</v>
      </c>
    </row>
    <row r="280" spans="1:7" x14ac:dyDescent="0.2">
      <c r="A280">
        <v>24</v>
      </c>
      <c r="B280">
        <v>1</v>
      </c>
      <c r="C280" s="2">
        <v>0.43409471053679699</v>
      </c>
      <c r="D280" s="2">
        <v>0.56590528946320195</v>
      </c>
      <c r="E280">
        <v>1</v>
      </c>
      <c r="F280" s="7">
        <f>IF(AND(Table1[[#This Row],[Predicted Outcome]]=1,Table1[[#This Row],[Actual Outcome]]=1),1,0)</f>
        <v>1</v>
      </c>
      <c r="G280" cm="1">
        <f t="array" ref="G280">_xlfn.XLOOKUP(MAX(IF(Table2[Probability_Default]&lt;Table1[[#This Row],[Probability_Default]],Table2[Probability_Default])),Table2[Probability_Default],Table2[Decile],0)</f>
        <v>3</v>
      </c>
    </row>
    <row r="281" spans="1:7" x14ac:dyDescent="0.2">
      <c r="A281">
        <v>326</v>
      </c>
      <c r="B281">
        <v>1</v>
      </c>
      <c r="C281" s="2">
        <v>0.43517222180315002</v>
      </c>
      <c r="D281" s="2">
        <v>0.56482777819684904</v>
      </c>
      <c r="E281">
        <v>1</v>
      </c>
      <c r="F281" s="7">
        <f>IF(AND(Table1[[#This Row],[Predicted Outcome]]=1,Table1[[#This Row],[Actual Outcome]]=1),1,0)</f>
        <v>1</v>
      </c>
      <c r="G281" cm="1">
        <f t="array" ref="G281">_xlfn.XLOOKUP(MAX(IF(Table2[Probability_Default]&lt;Table1[[#This Row],[Probability_Default]],Table2[Probability_Default])),Table2[Probability_Default],Table2[Decile],0)</f>
        <v>3</v>
      </c>
    </row>
    <row r="282" spans="1:7" x14ac:dyDescent="0.2">
      <c r="A282">
        <v>328</v>
      </c>
      <c r="B282">
        <v>1</v>
      </c>
      <c r="C282" s="2">
        <v>0.43757778714511097</v>
      </c>
      <c r="D282" s="2">
        <v>0.56242221285488803</v>
      </c>
      <c r="E282">
        <v>1</v>
      </c>
      <c r="F282" s="7">
        <f>IF(AND(Table1[[#This Row],[Predicted Outcome]]=1,Table1[[#This Row],[Actual Outcome]]=1),1,0)</f>
        <v>1</v>
      </c>
      <c r="G282" cm="1">
        <f t="array" ref="G282">_xlfn.XLOOKUP(MAX(IF(Table2[Probability_Default]&lt;Table1[[#This Row],[Probability_Default]],Table2[Probability_Default])),Table2[Probability_Default],Table2[Decile],0)</f>
        <v>2</v>
      </c>
    </row>
    <row r="283" spans="1:7" x14ac:dyDescent="0.2">
      <c r="A283">
        <v>334</v>
      </c>
      <c r="B283">
        <v>0</v>
      </c>
      <c r="C283" s="2">
        <v>0.443993155584614</v>
      </c>
      <c r="D283" s="2">
        <v>0.55600684441538495</v>
      </c>
      <c r="E283">
        <v>1</v>
      </c>
      <c r="F283" s="7">
        <f>IF(AND(Table1[[#This Row],[Predicted Outcome]]=1,Table1[[#This Row],[Actual Outcome]]=1),1,0)</f>
        <v>0</v>
      </c>
      <c r="G283" cm="1">
        <f t="array" ref="G283">_xlfn.XLOOKUP(MAX(IF(Table2[Probability_Default]&lt;Table1[[#This Row],[Probability_Default]],Table2[Probability_Default])),Table2[Probability_Default],Table2[Decile],0)</f>
        <v>2</v>
      </c>
    </row>
    <row r="284" spans="1:7" x14ac:dyDescent="0.2">
      <c r="A284">
        <v>163</v>
      </c>
      <c r="B284">
        <v>1</v>
      </c>
      <c r="C284" s="2">
        <v>0.44501333059346398</v>
      </c>
      <c r="D284" s="2">
        <v>0.55498666940653496</v>
      </c>
      <c r="E284">
        <v>1</v>
      </c>
      <c r="F284" s="7">
        <f>IF(AND(Table1[[#This Row],[Predicted Outcome]]=1,Table1[[#This Row],[Actual Outcome]]=1),1,0)</f>
        <v>1</v>
      </c>
      <c r="G284" cm="1">
        <f t="array" ref="G284">_xlfn.XLOOKUP(MAX(IF(Table2[Probability_Default]&lt;Table1[[#This Row],[Probability_Default]],Table2[Probability_Default])),Table2[Probability_Default],Table2[Decile],0)</f>
        <v>2</v>
      </c>
    </row>
    <row r="285" spans="1:7" x14ac:dyDescent="0.2">
      <c r="A285">
        <v>390</v>
      </c>
      <c r="B285">
        <v>1</v>
      </c>
      <c r="C285" s="2">
        <v>0.44999501854929402</v>
      </c>
      <c r="D285" s="2">
        <v>0.55000498145070598</v>
      </c>
      <c r="E285">
        <v>1</v>
      </c>
      <c r="F285" s="7">
        <f>IF(AND(Table1[[#This Row],[Predicted Outcome]]=1,Table1[[#This Row],[Actual Outcome]]=1),1,0)</f>
        <v>1</v>
      </c>
      <c r="G285" cm="1">
        <f t="array" ref="G285">_xlfn.XLOOKUP(MAX(IF(Table2[Probability_Default]&lt;Table1[[#This Row],[Probability_Default]],Table2[Probability_Default])),Table2[Probability_Default],Table2[Decile],0)</f>
        <v>2</v>
      </c>
    </row>
    <row r="286" spans="1:7" x14ac:dyDescent="0.2">
      <c r="A286">
        <v>82</v>
      </c>
      <c r="B286">
        <v>1</v>
      </c>
      <c r="C286" s="2">
        <v>0.45414094314373399</v>
      </c>
      <c r="D286" s="2">
        <v>0.54585905685626501</v>
      </c>
      <c r="E286">
        <v>1</v>
      </c>
      <c r="F286" s="7">
        <f>IF(AND(Table1[[#This Row],[Predicted Outcome]]=1,Table1[[#This Row],[Actual Outcome]]=1),1,0)</f>
        <v>1</v>
      </c>
      <c r="G286" cm="1">
        <f t="array" ref="G286">_xlfn.XLOOKUP(MAX(IF(Table2[Probability_Default]&lt;Table1[[#This Row],[Probability_Default]],Table2[Probability_Default])),Table2[Probability_Default],Table2[Decile],0)</f>
        <v>2</v>
      </c>
    </row>
    <row r="287" spans="1:7" x14ac:dyDescent="0.2">
      <c r="A287">
        <v>265</v>
      </c>
      <c r="B287">
        <v>1</v>
      </c>
      <c r="C287" s="2">
        <v>0.45461313661081898</v>
      </c>
      <c r="D287" s="2">
        <v>0.54538686338917997</v>
      </c>
      <c r="E287">
        <v>1</v>
      </c>
      <c r="F287" s="7">
        <f>IF(AND(Table1[[#This Row],[Predicted Outcome]]=1,Table1[[#This Row],[Actual Outcome]]=1),1,0)</f>
        <v>1</v>
      </c>
      <c r="G287" cm="1">
        <f t="array" ref="G287">_xlfn.XLOOKUP(MAX(IF(Table2[Probability_Default]&lt;Table1[[#This Row],[Probability_Default]],Table2[Probability_Default])),Table2[Probability_Default],Table2[Decile],0)</f>
        <v>2</v>
      </c>
    </row>
    <row r="288" spans="1:7" x14ac:dyDescent="0.2">
      <c r="A288">
        <v>220</v>
      </c>
      <c r="B288">
        <v>1</v>
      </c>
      <c r="C288" s="2">
        <v>0.45580682132009398</v>
      </c>
      <c r="D288" s="2">
        <v>0.54419317867990502</v>
      </c>
      <c r="E288">
        <v>1</v>
      </c>
      <c r="F288" s="7">
        <f>IF(AND(Table1[[#This Row],[Predicted Outcome]]=1,Table1[[#This Row],[Actual Outcome]]=1),1,0)</f>
        <v>1</v>
      </c>
      <c r="G288" cm="1">
        <f t="array" ref="G288">_xlfn.XLOOKUP(MAX(IF(Table2[Probability_Default]&lt;Table1[[#This Row],[Probability_Default]],Table2[Probability_Default])),Table2[Probability_Default],Table2[Decile],0)</f>
        <v>2</v>
      </c>
    </row>
    <row r="289" spans="1:7" x14ac:dyDescent="0.2">
      <c r="A289">
        <v>342</v>
      </c>
      <c r="B289">
        <v>0</v>
      </c>
      <c r="C289" s="2">
        <v>0.45837929244292203</v>
      </c>
      <c r="D289" s="2">
        <v>0.54162070755707703</v>
      </c>
      <c r="E289">
        <v>1</v>
      </c>
      <c r="F289" s="7">
        <f>IF(AND(Table1[[#This Row],[Predicted Outcome]]=1,Table1[[#This Row],[Actual Outcome]]=1),1,0)</f>
        <v>0</v>
      </c>
      <c r="G289" cm="1">
        <f t="array" ref="G289">_xlfn.XLOOKUP(MAX(IF(Table2[Probability_Default]&lt;Table1[[#This Row],[Probability_Default]],Table2[Probability_Default])),Table2[Probability_Default],Table2[Decile],0)</f>
        <v>2</v>
      </c>
    </row>
    <row r="290" spans="1:7" x14ac:dyDescent="0.2">
      <c r="A290">
        <v>313</v>
      </c>
      <c r="B290">
        <v>0</v>
      </c>
      <c r="C290" s="2">
        <v>0.46016692119865099</v>
      </c>
      <c r="D290" s="2">
        <v>0.53983307880134801</v>
      </c>
      <c r="E290">
        <v>1</v>
      </c>
      <c r="F290" s="7">
        <f>IF(AND(Table1[[#This Row],[Predicted Outcome]]=1,Table1[[#This Row],[Actual Outcome]]=1),1,0)</f>
        <v>0</v>
      </c>
      <c r="G290" cm="1">
        <f t="array" ref="G290">_xlfn.XLOOKUP(MAX(IF(Table2[Probability_Default]&lt;Table1[[#This Row],[Probability_Default]],Table2[Probability_Default])),Table2[Probability_Default],Table2[Decile],0)</f>
        <v>2</v>
      </c>
    </row>
    <row r="291" spans="1:7" x14ac:dyDescent="0.2">
      <c r="A291">
        <v>315</v>
      </c>
      <c r="B291">
        <v>0</v>
      </c>
      <c r="C291" s="2">
        <v>0.460246149425933</v>
      </c>
      <c r="D291" s="2">
        <v>0.539753850574066</v>
      </c>
      <c r="E291">
        <v>1</v>
      </c>
      <c r="F291" s="7">
        <f>IF(AND(Table1[[#This Row],[Predicted Outcome]]=1,Table1[[#This Row],[Actual Outcome]]=1),1,0)</f>
        <v>0</v>
      </c>
      <c r="G291" cm="1">
        <f t="array" ref="G291">_xlfn.XLOOKUP(MAX(IF(Table2[Probability_Default]&lt;Table1[[#This Row],[Probability_Default]],Table2[Probability_Default])),Table2[Probability_Default],Table2[Decile],0)</f>
        <v>2</v>
      </c>
    </row>
    <row r="292" spans="1:7" x14ac:dyDescent="0.2">
      <c r="A292">
        <v>252</v>
      </c>
      <c r="B292">
        <v>1</v>
      </c>
      <c r="C292" s="2">
        <v>0.460815389856161</v>
      </c>
      <c r="D292" s="2">
        <v>0.53918461014383801</v>
      </c>
      <c r="E292">
        <v>1</v>
      </c>
      <c r="F292" s="7">
        <f>IF(AND(Table1[[#This Row],[Predicted Outcome]]=1,Table1[[#This Row],[Actual Outcome]]=1),1,0)</f>
        <v>1</v>
      </c>
      <c r="G292" cm="1">
        <f t="array" ref="G292">_xlfn.XLOOKUP(MAX(IF(Table2[Probability_Default]&lt;Table1[[#This Row],[Probability_Default]],Table2[Probability_Default])),Table2[Probability_Default],Table2[Decile],0)</f>
        <v>2</v>
      </c>
    </row>
    <row r="293" spans="1:7" x14ac:dyDescent="0.2">
      <c r="A293">
        <v>397</v>
      </c>
      <c r="B293">
        <v>0</v>
      </c>
      <c r="C293" s="2">
        <v>0.46133435036995002</v>
      </c>
      <c r="D293" s="2">
        <v>0.53866564963004904</v>
      </c>
      <c r="E293">
        <v>1</v>
      </c>
      <c r="F293" s="7">
        <f>IF(AND(Table1[[#This Row],[Predicted Outcome]]=1,Table1[[#This Row],[Actual Outcome]]=1),1,0)</f>
        <v>0</v>
      </c>
      <c r="G293" cm="1">
        <f t="array" ref="G293">_xlfn.XLOOKUP(MAX(IF(Table2[Probability_Default]&lt;Table1[[#This Row],[Probability_Default]],Table2[Probability_Default])),Table2[Probability_Default],Table2[Decile],0)</f>
        <v>2</v>
      </c>
    </row>
    <row r="294" spans="1:7" x14ac:dyDescent="0.2">
      <c r="A294">
        <v>236</v>
      </c>
      <c r="B294">
        <v>0</v>
      </c>
      <c r="C294" s="2">
        <v>0.46355419166759299</v>
      </c>
      <c r="D294" s="2">
        <v>0.53644580833240596</v>
      </c>
      <c r="E294">
        <v>1</v>
      </c>
      <c r="F294" s="7">
        <f>IF(AND(Table1[[#This Row],[Predicted Outcome]]=1,Table1[[#This Row],[Actual Outcome]]=1),1,0)</f>
        <v>0</v>
      </c>
      <c r="G294" cm="1">
        <f t="array" ref="G294">_xlfn.XLOOKUP(MAX(IF(Table2[Probability_Default]&lt;Table1[[#This Row],[Probability_Default]],Table2[Probability_Default])),Table2[Probability_Default],Table2[Decile],0)</f>
        <v>2</v>
      </c>
    </row>
    <row r="295" spans="1:7" x14ac:dyDescent="0.2">
      <c r="A295">
        <v>343</v>
      </c>
      <c r="B295">
        <v>1</v>
      </c>
      <c r="C295" s="2">
        <v>0.464936477228028</v>
      </c>
      <c r="D295" s="2">
        <v>0.535063522771971</v>
      </c>
      <c r="E295">
        <v>1</v>
      </c>
      <c r="F295" s="7">
        <f>IF(AND(Table1[[#This Row],[Predicted Outcome]]=1,Table1[[#This Row],[Actual Outcome]]=1),1,0)</f>
        <v>1</v>
      </c>
      <c r="G295" cm="1">
        <f t="array" ref="G295">_xlfn.XLOOKUP(MAX(IF(Table2[Probability_Default]&lt;Table1[[#This Row],[Probability_Default]],Table2[Probability_Default])),Table2[Probability_Default],Table2[Decile],0)</f>
        <v>2</v>
      </c>
    </row>
    <row r="296" spans="1:7" x14ac:dyDescent="0.2">
      <c r="A296">
        <v>180</v>
      </c>
      <c r="B296">
        <v>1</v>
      </c>
      <c r="C296" s="2">
        <v>0.46684649874114398</v>
      </c>
      <c r="D296" s="2">
        <v>0.53315350125885497</v>
      </c>
      <c r="E296">
        <v>1</v>
      </c>
      <c r="F296" s="7">
        <f>IF(AND(Table1[[#This Row],[Predicted Outcome]]=1,Table1[[#This Row],[Actual Outcome]]=1),1,0)</f>
        <v>1</v>
      </c>
      <c r="G296" cm="1">
        <f t="array" ref="G296">_xlfn.XLOOKUP(MAX(IF(Table2[Probability_Default]&lt;Table1[[#This Row],[Probability_Default]],Table2[Probability_Default])),Table2[Probability_Default],Table2[Decile],0)</f>
        <v>2</v>
      </c>
    </row>
    <row r="297" spans="1:7" x14ac:dyDescent="0.2">
      <c r="A297">
        <v>360</v>
      </c>
      <c r="B297">
        <v>1</v>
      </c>
      <c r="C297" s="2">
        <v>0.47309116483942099</v>
      </c>
      <c r="D297" s="2">
        <v>0.52690883516057796</v>
      </c>
      <c r="E297">
        <v>1</v>
      </c>
      <c r="F297" s="7">
        <f>IF(AND(Table1[[#This Row],[Predicted Outcome]]=1,Table1[[#This Row],[Actual Outcome]]=1),1,0)</f>
        <v>1</v>
      </c>
      <c r="G297" cm="1">
        <f t="array" ref="G297">_xlfn.XLOOKUP(MAX(IF(Table2[Probability_Default]&lt;Table1[[#This Row],[Probability_Default]],Table2[Probability_Default])),Table2[Probability_Default],Table2[Decile],0)</f>
        <v>2</v>
      </c>
    </row>
    <row r="298" spans="1:7" x14ac:dyDescent="0.2">
      <c r="A298">
        <v>184</v>
      </c>
      <c r="B298">
        <v>1</v>
      </c>
      <c r="C298" s="2">
        <v>0.47569637223121702</v>
      </c>
      <c r="D298" s="2">
        <v>0.52430362776878203</v>
      </c>
      <c r="E298">
        <v>1</v>
      </c>
      <c r="F298" s="7">
        <f>IF(AND(Table1[[#This Row],[Predicted Outcome]]=1,Table1[[#This Row],[Actual Outcome]]=1),1,0)</f>
        <v>1</v>
      </c>
      <c r="G298" cm="1">
        <f t="array" ref="G298">_xlfn.XLOOKUP(MAX(IF(Table2[Probability_Default]&lt;Table1[[#This Row],[Probability_Default]],Table2[Probability_Default])),Table2[Probability_Default],Table2[Decile],0)</f>
        <v>2</v>
      </c>
    </row>
    <row r="299" spans="1:7" x14ac:dyDescent="0.2">
      <c r="A299">
        <v>251</v>
      </c>
      <c r="B299">
        <v>0</v>
      </c>
      <c r="C299" s="2">
        <v>0.47736289163957002</v>
      </c>
      <c r="D299" s="2">
        <v>0.52263710836042898</v>
      </c>
      <c r="E299">
        <v>1</v>
      </c>
      <c r="F299" s="7">
        <f>IF(AND(Table1[[#This Row],[Predicted Outcome]]=1,Table1[[#This Row],[Actual Outcome]]=1),1,0)</f>
        <v>0</v>
      </c>
      <c r="G299" cm="1">
        <f t="array" ref="G299">_xlfn.XLOOKUP(MAX(IF(Table2[Probability_Default]&lt;Table1[[#This Row],[Probability_Default]],Table2[Probability_Default])),Table2[Probability_Default],Table2[Decile],0)</f>
        <v>2</v>
      </c>
    </row>
    <row r="300" spans="1:7" x14ac:dyDescent="0.2">
      <c r="A300">
        <v>279</v>
      </c>
      <c r="B300">
        <v>0</v>
      </c>
      <c r="C300" s="2">
        <v>0.47817569459750597</v>
      </c>
      <c r="D300" s="2">
        <v>0.52182430540249303</v>
      </c>
      <c r="E300">
        <v>1</v>
      </c>
      <c r="F300" s="7">
        <f>IF(AND(Table1[[#This Row],[Predicted Outcome]]=1,Table1[[#This Row],[Actual Outcome]]=1),1,0)</f>
        <v>0</v>
      </c>
      <c r="G300" cm="1">
        <f t="array" ref="G300">_xlfn.XLOOKUP(MAX(IF(Table2[Probability_Default]&lt;Table1[[#This Row],[Probability_Default]],Table2[Probability_Default])),Table2[Probability_Default],Table2[Decile],0)</f>
        <v>2</v>
      </c>
    </row>
    <row r="301" spans="1:7" x14ac:dyDescent="0.2">
      <c r="A301">
        <v>0</v>
      </c>
      <c r="B301">
        <v>1</v>
      </c>
      <c r="C301" s="2">
        <v>0.47917879496022198</v>
      </c>
      <c r="D301" s="2">
        <v>0.52082120503977702</v>
      </c>
      <c r="E301">
        <v>1</v>
      </c>
      <c r="F301" s="7">
        <f>IF(AND(Table1[[#This Row],[Predicted Outcome]]=1,Table1[[#This Row],[Actual Outcome]]=1),1,0)</f>
        <v>1</v>
      </c>
      <c r="G301" cm="1">
        <f t="array" ref="G301">_xlfn.XLOOKUP(MAX(IF(Table2[Probability_Default]&lt;Table1[[#This Row],[Probability_Default]],Table2[Probability_Default])),Table2[Probability_Default],Table2[Decile],0)</f>
        <v>2</v>
      </c>
    </row>
    <row r="302" spans="1:7" x14ac:dyDescent="0.2">
      <c r="A302">
        <v>239</v>
      </c>
      <c r="B302">
        <v>0</v>
      </c>
      <c r="C302" s="2">
        <v>0.479211650366479</v>
      </c>
      <c r="D302" s="2">
        <v>0.52078834963352005</v>
      </c>
      <c r="E302">
        <v>1</v>
      </c>
      <c r="F302" s="7">
        <f>IF(AND(Table1[[#This Row],[Predicted Outcome]]=1,Table1[[#This Row],[Actual Outcome]]=1),1,0)</f>
        <v>0</v>
      </c>
      <c r="G302" cm="1">
        <f t="array" ref="G302">_xlfn.XLOOKUP(MAX(IF(Table2[Probability_Default]&lt;Table1[[#This Row],[Probability_Default]],Table2[Probability_Default])),Table2[Probability_Default],Table2[Decile],0)</f>
        <v>2</v>
      </c>
    </row>
    <row r="303" spans="1:7" x14ac:dyDescent="0.2">
      <c r="A303">
        <v>178</v>
      </c>
      <c r="B303">
        <v>1</v>
      </c>
      <c r="C303" s="2">
        <v>0.48293966373122399</v>
      </c>
      <c r="D303" s="2">
        <v>0.51706033626877501</v>
      </c>
      <c r="E303">
        <v>1</v>
      </c>
      <c r="F303" s="7">
        <f>IF(AND(Table1[[#This Row],[Predicted Outcome]]=1,Table1[[#This Row],[Actual Outcome]]=1),1,0)</f>
        <v>1</v>
      </c>
      <c r="G303" cm="1">
        <f t="array" ref="G303">_xlfn.XLOOKUP(MAX(IF(Table2[Probability_Default]&lt;Table1[[#This Row],[Probability_Default]],Table2[Probability_Default])),Table2[Probability_Default],Table2[Decile],0)</f>
        <v>2</v>
      </c>
    </row>
    <row r="304" spans="1:7" x14ac:dyDescent="0.2">
      <c r="A304">
        <v>10</v>
      </c>
      <c r="B304">
        <v>1</v>
      </c>
      <c r="C304" s="2">
        <v>0.484814554431381</v>
      </c>
      <c r="D304" s="2">
        <v>0.51518544556861801</v>
      </c>
      <c r="E304">
        <v>1</v>
      </c>
      <c r="F304" s="7">
        <f>IF(AND(Table1[[#This Row],[Predicted Outcome]]=1,Table1[[#This Row],[Actual Outcome]]=1),1,0)</f>
        <v>1</v>
      </c>
      <c r="G304" cm="1">
        <f t="array" ref="G304">_xlfn.XLOOKUP(MAX(IF(Table2[Probability_Default]&lt;Table1[[#This Row],[Probability_Default]],Table2[Probability_Default])),Table2[Probability_Default],Table2[Decile],0)</f>
        <v>2</v>
      </c>
    </row>
    <row r="305" spans="1:7" x14ac:dyDescent="0.2">
      <c r="A305">
        <v>139</v>
      </c>
      <c r="B305">
        <v>0</v>
      </c>
      <c r="C305" s="2">
        <v>0.48579403022614398</v>
      </c>
      <c r="D305" s="2">
        <v>0.51420596977385502</v>
      </c>
      <c r="E305">
        <v>1</v>
      </c>
      <c r="F305" s="7">
        <f>IF(AND(Table1[[#This Row],[Predicted Outcome]]=1,Table1[[#This Row],[Actual Outcome]]=1),1,0)</f>
        <v>0</v>
      </c>
      <c r="G305" cm="1">
        <f t="array" ref="G305">_xlfn.XLOOKUP(MAX(IF(Table2[Probability_Default]&lt;Table1[[#This Row],[Probability_Default]],Table2[Probability_Default])),Table2[Probability_Default],Table2[Decile],0)</f>
        <v>2</v>
      </c>
    </row>
    <row r="306" spans="1:7" x14ac:dyDescent="0.2">
      <c r="A306">
        <v>98</v>
      </c>
      <c r="B306">
        <v>0</v>
      </c>
      <c r="C306" s="2">
        <v>0.48924707307172799</v>
      </c>
      <c r="D306" s="2">
        <v>0.51075292692827101</v>
      </c>
      <c r="E306">
        <v>1</v>
      </c>
      <c r="F306" s="7">
        <f>IF(AND(Table1[[#This Row],[Predicted Outcome]]=1,Table1[[#This Row],[Actual Outcome]]=1),1,0)</f>
        <v>0</v>
      </c>
      <c r="G306" cm="1">
        <f t="array" ref="G306">_xlfn.XLOOKUP(MAX(IF(Table2[Probability_Default]&lt;Table1[[#This Row],[Probability_Default]],Table2[Probability_Default])),Table2[Probability_Default],Table2[Decile],0)</f>
        <v>2</v>
      </c>
    </row>
    <row r="307" spans="1:7" x14ac:dyDescent="0.2">
      <c r="A307">
        <v>243</v>
      </c>
      <c r="B307">
        <v>1</v>
      </c>
      <c r="C307" s="2">
        <v>0.49115954554803998</v>
      </c>
      <c r="D307" s="2">
        <v>0.50884045445195902</v>
      </c>
      <c r="E307">
        <v>1</v>
      </c>
      <c r="F307" s="7">
        <f>IF(AND(Table1[[#This Row],[Predicted Outcome]]=1,Table1[[#This Row],[Actual Outcome]]=1),1,0)</f>
        <v>1</v>
      </c>
      <c r="G307" cm="1">
        <f t="array" ref="G307">_xlfn.XLOOKUP(MAX(IF(Table2[Probability_Default]&lt;Table1[[#This Row],[Probability_Default]],Table2[Probability_Default])),Table2[Probability_Default],Table2[Decile],0)</f>
        <v>2</v>
      </c>
    </row>
    <row r="308" spans="1:7" x14ac:dyDescent="0.2">
      <c r="A308">
        <v>280</v>
      </c>
      <c r="B308">
        <v>1</v>
      </c>
      <c r="C308" s="2">
        <v>0.492064556855701</v>
      </c>
      <c r="D308" s="2">
        <v>0.50793544314429795</v>
      </c>
      <c r="E308">
        <v>1</v>
      </c>
      <c r="F308" s="7">
        <f>IF(AND(Table1[[#This Row],[Predicted Outcome]]=1,Table1[[#This Row],[Actual Outcome]]=1),1,0)</f>
        <v>1</v>
      </c>
      <c r="G308" cm="1">
        <f t="array" ref="G308">_xlfn.XLOOKUP(MAX(IF(Table2[Probability_Default]&lt;Table1[[#This Row],[Probability_Default]],Table2[Probability_Default])),Table2[Probability_Default],Table2[Decile],0)</f>
        <v>2</v>
      </c>
    </row>
    <row r="309" spans="1:7" x14ac:dyDescent="0.2">
      <c r="A309">
        <v>18</v>
      </c>
      <c r="B309">
        <v>0</v>
      </c>
      <c r="C309" s="2">
        <v>0.49893371692821997</v>
      </c>
      <c r="D309" s="2">
        <v>0.50106628307177903</v>
      </c>
      <c r="E309">
        <v>1</v>
      </c>
      <c r="F309" s="7">
        <f>IF(AND(Table1[[#This Row],[Predicted Outcome]]=1,Table1[[#This Row],[Actual Outcome]]=1),1,0)</f>
        <v>0</v>
      </c>
      <c r="G309" cm="1">
        <f t="array" ref="G309">_xlfn.XLOOKUP(MAX(IF(Table2[Probability_Default]&lt;Table1[[#This Row],[Probability_Default]],Table2[Probability_Default])),Table2[Probability_Default],Table2[Decile],0)</f>
        <v>2</v>
      </c>
    </row>
    <row r="310" spans="1:7" x14ac:dyDescent="0.2">
      <c r="A310">
        <v>196</v>
      </c>
      <c r="B310">
        <v>1</v>
      </c>
      <c r="C310" s="2">
        <v>0.49996779850686501</v>
      </c>
      <c r="D310" s="2">
        <v>0.50003220149313399</v>
      </c>
      <c r="E310">
        <v>1</v>
      </c>
      <c r="F310" s="7">
        <f>IF(AND(Table1[[#This Row],[Predicted Outcome]]=1,Table1[[#This Row],[Actual Outcome]]=1),1,0)</f>
        <v>1</v>
      </c>
      <c r="G310" cm="1">
        <f t="array" ref="G310">_xlfn.XLOOKUP(MAX(IF(Table2[Probability_Default]&lt;Table1[[#This Row],[Probability_Default]],Table2[Probability_Default])),Table2[Probability_Default],Table2[Decile],0)</f>
        <v>2</v>
      </c>
    </row>
    <row r="311" spans="1:7" x14ac:dyDescent="0.2">
      <c r="A311">
        <v>28</v>
      </c>
      <c r="B311">
        <v>1</v>
      </c>
      <c r="C311" s="2">
        <v>0.50028208072713698</v>
      </c>
      <c r="D311" s="2">
        <v>0.49971791927286202</v>
      </c>
      <c r="E311">
        <v>0</v>
      </c>
      <c r="F311" s="7">
        <f>IF(AND(Table1[[#This Row],[Predicted Outcome]]=1,Table1[[#This Row],[Actual Outcome]]=1),1,0)</f>
        <v>0</v>
      </c>
      <c r="G311" cm="1">
        <f t="array" ref="G311">_xlfn.XLOOKUP(MAX(IF(Table2[Probability_Default]&lt;Table1[[#This Row],[Probability_Default]],Table2[Probability_Default])),Table2[Probability_Default],Table2[Decile],0)</f>
        <v>2</v>
      </c>
    </row>
    <row r="312" spans="1:7" x14ac:dyDescent="0.2">
      <c r="A312">
        <v>29</v>
      </c>
      <c r="B312">
        <v>1</v>
      </c>
      <c r="C312" s="2">
        <v>0.50151153933103498</v>
      </c>
      <c r="D312" s="2">
        <v>0.49848846066896402</v>
      </c>
      <c r="E312">
        <v>0</v>
      </c>
      <c r="F312" s="7">
        <f>IF(AND(Table1[[#This Row],[Predicted Outcome]]=1,Table1[[#This Row],[Actual Outcome]]=1),1,0)</f>
        <v>0</v>
      </c>
      <c r="G312" cm="1">
        <f t="array" ref="G312">_xlfn.XLOOKUP(MAX(IF(Table2[Probability_Default]&lt;Table1[[#This Row],[Probability_Default]],Table2[Probability_Default])),Table2[Probability_Default],Table2[Decile],0)</f>
        <v>2</v>
      </c>
    </row>
    <row r="313" spans="1:7" x14ac:dyDescent="0.2">
      <c r="A313">
        <v>210</v>
      </c>
      <c r="B313">
        <v>0</v>
      </c>
      <c r="C313" s="2">
        <v>0.50387210407711203</v>
      </c>
      <c r="D313" s="2">
        <v>0.49612789592288797</v>
      </c>
      <c r="E313">
        <v>0</v>
      </c>
      <c r="F313" s="7">
        <f>IF(AND(Table1[[#This Row],[Predicted Outcome]]=1,Table1[[#This Row],[Actual Outcome]]=1),1,0)</f>
        <v>0</v>
      </c>
      <c r="G313" cm="1">
        <f t="array" ref="G313">_xlfn.XLOOKUP(MAX(IF(Table2[Probability_Default]&lt;Table1[[#This Row],[Probability_Default]],Table2[Probability_Default])),Table2[Probability_Default],Table2[Decile],0)</f>
        <v>2</v>
      </c>
    </row>
    <row r="314" spans="1:7" x14ac:dyDescent="0.2">
      <c r="A314">
        <v>322</v>
      </c>
      <c r="B314">
        <v>0</v>
      </c>
      <c r="C314" s="2">
        <v>0.50677657054531899</v>
      </c>
      <c r="D314" s="2">
        <v>0.49322342945468001</v>
      </c>
      <c r="E314">
        <v>0</v>
      </c>
      <c r="F314" s="7">
        <f>IF(AND(Table1[[#This Row],[Predicted Outcome]]=1,Table1[[#This Row],[Actual Outcome]]=1),1,0)</f>
        <v>0</v>
      </c>
      <c r="G314" cm="1">
        <f t="array" ref="G314">_xlfn.XLOOKUP(MAX(IF(Table2[Probability_Default]&lt;Table1[[#This Row],[Probability_Default]],Table2[Probability_Default])),Table2[Probability_Default],Table2[Decile],0)</f>
        <v>2</v>
      </c>
    </row>
    <row r="315" spans="1:7" x14ac:dyDescent="0.2">
      <c r="A315">
        <v>376</v>
      </c>
      <c r="B315">
        <v>1</v>
      </c>
      <c r="C315" s="2">
        <v>0.50713081304568297</v>
      </c>
      <c r="D315" s="2">
        <v>0.49286918695431597</v>
      </c>
      <c r="E315">
        <v>0</v>
      </c>
      <c r="F315" s="7">
        <f>IF(AND(Table1[[#This Row],[Predicted Outcome]]=1,Table1[[#This Row],[Actual Outcome]]=1),1,0)</f>
        <v>0</v>
      </c>
      <c r="G315" cm="1">
        <f t="array" ref="G315">_xlfn.XLOOKUP(MAX(IF(Table2[Probability_Default]&lt;Table1[[#This Row],[Probability_Default]],Table2[Probability_Default])),Table2[Probability_Default],Table2[Decile],0)</f>
        <v>2</v>
      </c>
    </row>
    <row r="316" spans="1:7" x14ac:dyDescent="0.2">
      <c r="A316">
        <v>355</v>
      </c>
      <c r="B316">
        <v>0</v>
      </c>
      <c r="C316" s="2">
        <v>0.51089785586324499</v>
      </c>
      <c r="D316" s="2">
        <v>0.48910214413675401</v>
      </c>
      <c r="E316">
        <v>0</v>
      </c>
      <c r="F316" s="7">
        <f>IF(AND(Table1[[#This Row],[Predicted Outcome]]=1,Table1[[#This Row],[Actual Outcome]]=1),1,0)</f>
        <v>0</v>
      </c>
      <c r="G316" cm="1">
        <f t="array" ref="G316">_xlfn.XLOOKUP(MAX(IF(Table2[Probability_Default]&lt;Table1[[#This Row],[Probability_Default]],Table2[Probability_Default])),Table2[Probability_Default],Table2[Decile],0)</f>
        <v>2</v>
      </c>
    </row>
    <row r="317" spans="1:7" x14ac:dyDescent="0.2">
      <c r="A317">
        <v>108</v>
      </c>
      <c r="B317">
        <v>0</v>
      </c>
      <c r="C317" s="2">
        <v>0.51381634828274703</v>
      </c>
      <c r="D317" s="2">
        <v>0.48618365171725197</v>
      </c>
      <c r="E317">
        <v>0</v>
      </c>
      <c r="F317" s="7">
        <f>IF(AND(Table1[[#This Row],[Predicted Outcome]]=1,Table1[[#This Row],[Actual Outcome]]=1),1,0)</f>
        <v>0</v>
      </c>
      <c r="G317" cm="1">
        <f t="array" ref="G317">_xlfn.XLOOKUP(MAX(IF(Table2[Probability_Default]&lt;Table1[[#This Row],[Probability_Default]],Table2[Probability_Default])),Table2[Probability_Default],Table2[Decile],0)</f>
        <v>2</v>
      </c>
    </row>
    <row r="318" spans="1:7" x14ac:dyDescent="0.2">
      <c r="A318">
        <v>6</v>
      </c>
      <c r="B318">
        <v>1</v>
      </c>
      <c r="C318" s="2">
        <v>0.51442454871687004</v>
      </c>
      <c r="D318" s="2">
        <v>0.48557545128312901</v>
      </c>
      <c r="E318">
        <v>0</v>
      </c>
      <c r="F318" s="7">
        <f>IF(AND(Table1[[#This Row],[Predicted Outcome]]=1,Table1[[#This Row],[Actual Outcome]]=1),1,0)</f>
        <v>0</v>
      </c>
      <c r="G318" cm="1">
        <f t="array" ref="G318">_xlfn.XLOOKUP(MAX(IF(Table2[Probability_Default]&lt;Table1[[#This Row],[Probability_Default]],Table2[Probability_Default])),Table2[Probability_Default],Table2[Decile],0)</f>
        <v>2</v>
      </c>
    </row>
    <row r="319" spans="1:7" x14ac:dyDescent="0.2">
      <c r="A319">
        <v>363</v>
      </c>
      <c r="B319">
        <v>0</v>
      </c>
      <c r="C319" s="2">
        <v>0.51524994677824398</v>
      </c>
      <c r="D319" s="2">
        <v>0.48475005322175502</v>
      </c>
      <c r="E319">
        <v>0</v>
      </c>
      <c r="F319" s="7">
        <f>IF(AND(Table1[[#This Row],[Predicted Outcome]]=1,Table1[[#This Row],[Actual Outcome]]=1),1,0)</f>
        <v>0</v>
      </c>
      <c r="G319" cm="1">
        <f t="array" ref="G319">_xlfn.XLOOKUP(MAX(IF(Table2[Probability_Default]&lt;Table1[[#This Row],[Probability_Default]],Table2[Probability_Default])),Table2[Probability_Default],Table2[Decile],0)</f>
        <v>2</v>
      </c>
    </row>
    <row r="320" spans="1:7" x14ac:dyDescent="0.2">
      <c r="A320">
        <v>162</v>
      </c>
      <c r="B320">
        <v>1</v>
      </c>
      <c r="C320" s="2">
        <v>0.51899216178449803</v>
      </c>
      <c r="D320" s="2">
        <v>0.48100783821550103</v>
      </c>
      <c r="E320">
        <v>0</v>
      </c>
      <c r="F320" s="7">
        <f>IF(AND(Table1[[#This Row],[Predicted Outcome]]=1,Table1[[#This Row],[Actual Outcome]]=1),1,0)</f>
        <v>0</v>
      </c>
      <c r="G320" cm="1">
        <f t="array" ref="G320">_xlfn.XLOOKUP(MAX(IF(Table2[Probability_Default]&lt;Table1[[#This Row],[Probability_Default]],Table2[Probability_Default])),Table2[Probability_Default],Table2[Decile],0)</f>
        <v>2</v>
      </c>
    </row>
    <row r="321" spans="1:7" x14ac:dyDescent="0.2">
      <c r="A321">
        <v>159</v>
      </c>
      <c r="B321">
        <v>1</v>
      </c>
      <c r="C321" s="2">
        <v>0.52415741302443397</v>
      </c>
      <c r="D321" s="2">
        <v>0.47584258697556497</v>
      </c>
      <c r="E321">
        <v>0</v>
      </c>
      <c r="F321" s="7">
        <f>IF(AND(Table1[[#This Row],[Predicted Outcome]]=1,Table1[[#This Row],[Actual Outcome]]=1),1,0)</f>
        <v>0</v>
      </c>
      <c r="G321" cm="1">
        <f t="array" ref="G321">_xlfn.XLOOKUP(MAX(IF(Table2[Probability_Default]&lt;Table1[[#This Row],[Probability_Default]],Table2[Probability_Default])),Table2[Probability_Default],Table2[Decile],0)</f>
        <v>2</v>
      </c>
    </row>
    <row r="322" spans="1:7" x14ac:dyDescent="0.2">
      <c r="A322">
        <v>385</v>
      </c>
      <c r="B322">
        <v>1</v>
      </c>
      <c r="C322" s="2">
        <v>0.52552482761053498</v>
      </c>
      <c r="D322" s="2">
        <v>0.47447517238946402</v>
      </c>
      <c r="E322">
        <v>0</v>
      </c>
      <c r="F322" s="7">
        <f>IF(AND(Table1[[#This Row],[Predicted Outcome]]=1,Table1[[#This Row],[Actual Outcome]]=1),1,0)</f>
        <v>0</v>
      </c>
      <c r="G322" cm="1">
        <f t="array" ref="G322">_xlfn.XLOOKUP(MAX(IF(Table2[Probability_Default]&lt;Table1[[#This Row],[Probability_Default]],Table2[Probability_Default])),Table2[Probability_Default],Table2[Decile],0)</f>
        <v>1</v>
      </c>
    </row>
    <row r="323" spans="1:7" x14ac:dyDescent="0.2">
      <c r="A323">
        <v>289</v>
      </c>
      <c r="B323">
        <v>0</v>
      </c>
      <c r="C323" s="2">
        <v>0.53240914966711295</v>
      </c>
      <c r="D323" s="2">
        <v>0.467590850332886</v>
      </c>
      <c r="E323">
        <v>0</v>
      </c>
      <c r="F323" s="7">
        <f>IF(AND(Table1[[#This Row],[Predicted Outcome]]=1,Table1[[#This Row],[Actual Outcome]]=1),1,0)</f>
        <v>0</v>
      </c>
      <c r="G323" cm="1">
        <f t="array" ref="G323">_xlfn.XLOOKUP(MAX(IF(Table2[Probability_Default]&lt;Table1[[#This Row],[Probability_Default]],Table2[Probability_Default])),Table2[Probability_Default],Table2[Decile],0)</f>
        <v>1</v>
      </c>
    </row>
    <row r="324" spans="1:7" x14ac:dyDescent="0.2">
      <c r="A324">
        <v>156</v>
      </c>
      <c r="B324">
        <v>0</v>
      </c>
      <c r="C324" s="2">
        <v>0.53400946481075595</v>
      </c>
      <c r="D324" s="2">
        <v>0.46599053518924299</v>
      </c>
      <c r="E324">
        <v>0</v>
      </c>
      <c r="F324" s="7">
        <f>IF(AND(Table1[[#This Row],[Predicted Outcome]]=1,Table1[[#This Row],[Actual Outcome]]=1),1,0)</f>
        <v>0</v>
      </c>
      <c r="G324" cm="1">
        <f t="array" ref="G324">_xlfn.XLOOKUP(MAX(IF(Table2[Probability_Default]&lt;Table1[[#This Row],[Probability_Default]],Table2[Probability_Default])),Table2[Probability_Default],Table2[Decile],0)</f>
        <v>1</v>
      </c>
    </row>
    <row r="325" spans="1:7" x14ac:dyDescent="0.2">
      <c r="A325">
        <v>53</v>
      </c>
      <c r="B325">
        <v>0</v>
      </c>
      <c r="C325" s="2">
        <v>0.53799642141559001</v>
      </c>
      <c r="D325" s="2">
        <v>0.46200357858440899</v>
      </c>
      <c r="E325">
        <v>0</v>
      </c>
      <c r="F325" s="7">
        <f>IF(AND(Table1[[#This Row],[Predicted Outcome]]=1,Table1[[#This Row],[Actual Outcome]]=1),1,0)</f>
        <v>0</v>
      </c>
      <c r="G325" cm="1">
        <f t="array" ref="G325">_xlfn.XLOOKUP(MAX(IF(Table2[Probability_Default]&lt;Table1[[#This Row],[Probability_Default]],Table2[Probability_Default])),Table2[Probability_Default],Table2[Decile],0)</f>
        <v>1</v>
      </c>
    </row>
    <row r="326" spans="1:7" x14ac:dyDescent="0.2">
      <c r="A326">
        <v>237</v>
      </c>
      <c r="B326">
        <v>1</v>
      </c>
      <c r="C326" s="2">
        <v>0.54223416007430103</v>
      </c>
      <c r="D326" s="2">
        <v>0.45776583992569803</v>
      </c>
      <c r="E326">
        <v>0</v>
      </c>
      <c r="F326" s="7">
        <f>IF(AND(Table1[[#This Row],[Predicted Outcome]]=1,Table1[[#This Row],[Actual Outcome]]=1),1,0)</f>
        <v>0</v>
      </c>
      <c r="G326" cm="1">
        <f t="array" ref="G326">_xlfn.XLOOKUP(MAX(IF(Table2[Probability_Default]&lt;Table1[[#This Row],[Probability_Default]],Table2[Probability_Default])),Table2[Probability_Default],Table2[Decile],0)</f>
        <v>1</v>
      </c>
    </row>
    <row r="327" spans="1:7" x14ac:dyDescent="0.2">
      <c r="A327">
        <v>31</v>
      </c>
      <c r="B327">
        <v>0</v>
      </c>
      <c r="C327" s="2">
        <v>0.54661961512289503</v>
      </c>
      <c r="D327" s="2">
        <v>0.45338038487710403</v>
      </c>
      <c r="E327">
        <v>0</v>
      </c>
      <c r="F327" s="7">
        <f>IF(AND(Table1[[#This Row],[Predicted Outcome]]=1,Table1[[#This Row],[Actual Outcome]]=1),1,0)</f>
        <v>0</v>
      </c>
      <c r="G327" cm="1">
        <f t="array" ref="G327">_xlfn.XLOOKUP(MAX(IF(Table2[Probability_Default]&lt;Table1[[#This Row],[Probability_Default]],Table2[Probability_Default])),Table2[Probability_Default],Table2[Decile],0)</f>
        <v>1</v>
      </c>
    </row>
    <row r="328" spans="1:7" x14ac:dyDescent="0.2">
      <c r="A328">
        <v>347</v>
      </c>
      <c r="B328">
        <v>0</v>
      </c>
      <c r="C328" s="2">
        <v>0.549494286802094</v>
      </c>
      <c r="D328" s="2">
        <v>0.450505713197905</v>
      </c>
      <c r="E328">
        <v>0</v>
      </c>
      <c r="F328" s="7">
        <f>IF(AND(Table1[[#This Row],[Predicted Outcome]]=1,Table1[[#This Row],[Actual Outcome]]=1),1,0)</f>
        <v>0</v>
      </c>
      <c r="G328" cm="1">
        <f t="array" ref="G328">_xlfn.XLOOKUP(MAX(IF(Table2[Probability_Default]&lt;Table1[[#This Row],[Probability_Default]],Table2[Probability_Default])),Table2[Probability_Default],Table2[Decile],0)</f>
        <v>1</v>
      </c>
    </row>
    <row r="329" spans="1:7" x14ac:dyDescent="0.2">
      <c r="A329">
        <v>36</v>
      </c>
      <c r="B329">
        <v>0</v>
      </c>
      <c r="C329" s="2">
        <v>0.54962624187008802</v>
      </c>
      <c r="D329" s="2">
        <v>0.45037375812991098</v>
      </c>
      <c r="E329">
        <v>0</v>
      </c>
      <c r="F329" s="7">
        <f>IF(AND(Table1[[#This Row],[Predicted Outcome]]=1,Table1[[#This Row],[Actual Outcome]]=1),1,0)</f>
        <v>0</v>
      </c>
      <c r="G329" cm="1">
        <f t="array" ref="G329">_xlfn.XLOOKUP(MAX(IF(Table2[Probability_Default]&lt;Table1[[#This Row],[Probability_Default]],Table2[Probability_Default])),Table2[Probability_Default],Table2[Decile],0)</f>
        <v>1</v>
      </c>
    </row>
    <row r="330" spans="1:7" x14ac:dyDescent="0.2">
      <c r="A330">
        <v>94</v>
      </c>
      <c r="B330">
        <v>0</v>
      </c>
      <c r="C330" s="2">
        <v>0.55328556234154003</v>
      </c>
      <c r="D330" s="2">
        <v>0.44671443765845897</v>
      </c>
      <c r="E330">
        <v>0</v>
      </c>
      <c r="F330" s="7">
        <f>IF(AND(Table1[[#This Row],[Predicted Outcome]]=1,Table1[[#This Row],[Actual Outcome]]=1),1,0)</f>
        <v>0</v>
      </c>
      <c r="G330" cm="1">
        <f t="array" ref="G330">_xlfn.XLOOKUP(MAX(IF(Table2[Probability_Default]&lt;Table1[[#This Row],[Probability_Default]],Table2[Probability_Default])),Table2[Probability_Default],Table2[Decile],0)</f>
        <v>1</v>
      </c>
    </row>
    <row r="331" spans="1:7" x14ac:dyDescent="0.2">
      <c r="A331">
        <v>15</v>
      </c>
      <c r="B331">
        <v>0</v>
      </c>
      <c r="C331" s="2">
        <v>0.55402137857425005</v>
      </c>
      <c r="D331" s="2">
        <v>0.44597862142574901</v>
      </c>
      <c r="E331">
        <v>0</v>
      </c>
      <c r="F331" s="7">
        <f>IF(AND(Table1[[#This Row],[Predicted Outcome]]=1,Table1[[#This Row],[Actual Outcome]]=1),1,0)</f>
        <v>0</v>
      </c>
      <c r="G331" cm="1">
        <f t="array" ref="G331">_xlfn.XLOOKUP(MAX(IF(Table2[Probability_Default]&lt;Table1[[#This Row],[Probability_Default]],Table2[Probability_Default])),Table2[Probability_Default],Table2[Decile],0)</f>
        <v>1</v>
      </c>
    </row>
    <row r="332" spans="1:7" x14ac:dyDescent="0.2">
      <c r="A332">
        <v>195</v>
      </c>
      <c r="B332">
        <v>0</v>
      </c>
      <c r="C332" s="2">
        <v>0.55408984271941697</v>
      </c>
      <c r="D332" s="2">
        <v>0.44591015728058198</v>
      </c>
      <c r="E332">
        <v>0</v>
      </c>
      <c r="F332" s="7">
        <f>IF(AND(Table1[[#This Row],[Predicted Outcome]]=1,Table1[[#This Row],[Actual Outcome]]=1),1,0)</f>
        <v>0</v>
      </c>
      <c r="G332" cm="1">
        <f t="array" ref="G332">_xlfn.XLOOKUP(MAX(IF(Table2[Probability_Default]&lt;Table1[[#This Row],[Probability_Default]],Table2[Probability_Default])),Table2[Probability_Default],Table2[Decile],0)</f>
        <v>1</v>
      </c>
    </row>
    <row r="333" spans="1:7" x14ac:dyDescent="0.2">
      <c r="A333">
        <v>90</v>
      </c>
      <c r="B333">
        <v>0</v>
      </c>
      <c r="C333" s="2">
        <v>0.55746729042809795</v>
      </c>
      <c r="D333" s="2">
        <v>0.442532709571901</v>
      </c>
      <c r="E333">
        <v>0</v>
      </c>
      <c r="F333" s="7">
        <f>IF(AND(Table1[[#This Row],[Predicted Outcome]]=1,Table1[[#This Row],[Actual Outcome]]=1),1,0)</f>
        <v>0</v>
      </c>
      <c r="G333" cm="1">
        <f t="array" ref="G333">_xlfn.XLOOKUP(MAX(IF(Table2[Probability_Default]&lt;Table1[[#This Row],[Probability_Default]],Table2[Probability_Default])),Table2[Probability_Default],Table2[Decile],0)</f>
        <v>1</v>
      </c>
    </row>
    <row r="334" spans="1:7" x14ac:dyDescent="0.2">
      <c r="A334">
        <v>272</v>
      </c>
      <c r="B334">
        <v>0</v>
      </c>
      <c r="C334" s="2">
        <v>0.55755742041737399</v>
      </c>
      <c r="D334" s="2">
        <v>0.44244257958262501</v>
      </c>
      <c r="E334">
        <v>0</v>
      </c>
      <c r="F334" s="7">
        <f>IF(AND(Table1[[#This Row],[Predicted Outcome]]=1,Table1[[#This Row],[Actual Outcome]]=1),1,0)</f>
        <v>0</v>
      </c>
      <c r="G334" cm="1">
        <f t="array" ref="G334">_xlfn.XLOOKUP(MAX(IF(Table2[Probability_Default]&lt;Table1[[#This Row],[Probability_Default]],Table2[Probability_Default])),Table2[Probability_Default],Table2[Decile],0)</f>
        <v>1</v>
      </c>
    </row>
    <row r="335" spans="1:7" x14ac:dyDescent="0.2">
      <c r="A335">
        <v>120</v>
      </c>
      <c r="B335">
        <v>0</v>
      </c>
      <c r="C335" s="2">
        <v>0.56240842927651002</v>
      </c>
      <c r="D335" s="2">
        <v>0.43759157072348898</v>
      </c>
      <c r="E335">
        <v>0</v>
      </c>
      <c r="F335" s="7">
        <f>IF(AND(Table1[[#This Row],[Predicted Outcome]]=1,Table1[[#This Row],[Actual Outcome]]=1),1,0)</f>
        <v>0</v>
      </c>
      <c r="G335" cm="1">
        <f t="array" ref="G335">_xlfn.XLOOKUP(MAX(IF(Table2[Probability_Default]&lt;Table1[[#This Row],[Probability_Default]],Table2[Probability_Default])),Table2[Probability_Default],Table2[Decile],0)</f>
        <v>1</v>
      </c>
    </row>
    <row r="336" spans="1:7" x14ac:dyDescent="0.2">
      <c r="A336">
        <v>157</v>
      </c>
      <c r="B336">
        <v>0</v>
      </c>
      <c r="C336" s="2">
        <v>0.56409911280301706</v>
      </c>
      <c r="D336" s="2">
        <v>0.435900887196982</v>
      </c>
      <c r="E336">
        <v>0</v>
      </c>
      <c r="F336" s="7">
        <f>IF(AND(Table1[[#This Row],[Predicted Outcome]]=1,Table1[[#This Row],[Actual Outcome]]=1),1,0)</f>
        <v>0</v>
      </c>
      <c r="G336" cm="1">
        <f t="array" ref="G336">_xlfn.XLOOKUP(MAX(IF(Table2[Probability_Default]&lt;Table1[[#This Row],[Probability_Default]],Table2[Probability_Default])),Table2[Probability_Default],Table2[Decile],0)</f>
        <v>1</v>
      </c>
    </row>
    <row r="337" spans="1:7" x14ac:dyDescent="0.2">
      <c r="A337">
        <v>65</v>
      </c>
      <c r="B337">
        <v>0</v>
      </c>
      <c r="C337" s="2">
        <v>0.56585200155120496</v>
      </c>
      <c r="D337" s="2">
        <v>0.43414799844879398</v>
      </c>
      <c r="E337">
        <v>0</v>
      </c>
      <c r="F337" s="7">
        <f>IF(AND(Table1[[#This Row],[Predicted Outcome]]=1,Table1[[#This Row],[Actual Outcome]]=1),1,0)</f>
        <v>0</v>
      </c>
      <c r="G337" cm="1">
        <f t="array" ref="G337">_xlfn.XLOOKUP(MAX(IF(Table2[Probability_Default]&lt;Table1[[#This Row],[Probability_Default]],Table2[Probability_Default])),Table2[Probability_Default],Table2[Decile],0)</f>
        <v>1</v>
      </c>
    </row>
    <row r="338" spans="1:7" x14ac:dyDescent="0.2">
      <c r="A338">
        <v>155</v>
      </c>
      <c r="B338">
        <v>0</v>
      </c>
      <c r="C338" s="2">
        <v>0.56842974929308798</v>
      </c>
      <c r="D338" s="2">
        <v>0.43157025070691102</v>
      </c>
      <c r="E338">
        <v>0</v>
      </c>
      <c r="F338" s="7">
        <f>IF(AND(Table1[[#This Row],[Predicted Outcome]]=1,Table1[[#This Row],[Actual Outcome]]=1),1,0)</f>
        <v>0</v>
      </c>
      <c r="G338" cm="1">
        <f t="array" ref="G338">_xlfn.XLOOKUP(MAX(IF(Table2[Probability_Default]&lt;Table1[[#This Row],[Probability_Default]],Table2[Probability_Default])),Table2[Probability_Default],Table2[Decile],0)</f>
        <v>1</v>
      </c>
    </row>
    <row r="339" spans="1:7" x14ac:dyDescent="0.2">
      <c r="A339">
        <v>22</v>
      </c>
      <c r="B339">
        <v>0</v>
      </c>
      <c r="C339" s="2">
        <v>0.569553228035239</v>
      </c>
      <c r="D339" s="2">
        <v>0.43044677196476</v>
      </c>
      <c r="E339">
        <v>0</v>
      </c>
      <c r="F339" s="7">
        <f>IF(AND(Table1[[#This Row],[Predicted Outcome]]=1,Table1[[#This Row],[Actual Outcome]]=1),1,0)</f>
        <v>0</v>
      </c>
      <c r="G339" cm="1">
        <f t="array" ref="G339">_xlfn.XLOOKUP(MAX(IF(Table2[Probability_Default]&lt;Table1[[#This Row],[Probability_Default]],Table2[Probability_Default])),Table2[Probability_Default],Table2[Decile],0)</f>
        <v>1</v>
      </c>
    </row>
    <row r="340" spans="1:7" x14ac:dyDescent="0.2">
      <c r="A340">
        <v>291</v>
      </c>
      <c r="B340">
        <v>0</v>
      </c>
      <c r="C340" s="2">
        <v>0.57189629354016902</v>
      </c>
      <c r="D340" s="2">
        <v>0.42810370645982998</v>
      </c>
      <c r="E340">
        <v>0</v>
      </c>
      <c r="F340" s="7">
        <f>IF(AND(Table1[[#This Row],[Predicted Outcome]]=1,Table1[[#This Row],[Actual Outcome]]=1),1,0)</f>
        <v>0</v>
      </c>
      <c r="G340" cm="1">
        <f t="array" ref="G340">_xlfn.XLOOKUP(MAX(IF(Table2[Probability_Default]&lt;Table1[[#This Row],[Probability_Default]],Table2[Probability_Default])),Table2[Probability_Default],Table2[Decile],0)</f>
        <v>1</v>
      </c>
    </row>
    <row r="341" spans="1:7" x14ac:dyDescent="0.2">
      <c r="A341">
        <v>177</v>
      </c>
      <c r="B341">
        <v>0</v>
      </c>
      <c r="C341" s="2">
        <v>0.57251257493956198</v>
      </c>
      <c r="D341" s="2">
        <v>0.42748742506043702</v>
      </c>
      <c r="E341">
        <v>0</v>
      </c>
      <c r="F341" s="7">
        <f>IF(AND(Table1[[#This Row],[Predicted Outcome]]=1,Table1[[#This Row],[Actual Outcome]]=1),1,0)</f>
        <v>0</v>
      </c>
      <c r="G341" cm="1">
        <f t="array" ref="G341">_xlfn.XLOOKUP(MAX(IF(Table2[Probability_Default]&lt;Table1[[#This Row],[Probability_Default]],Table2[Probability_Default])),Table2[Probability_Default],Table2[Decile],0)</f>
        <v>1</v>
      </c>
    </row>
    <row r="342" spans="1:7" x14ac:dyDescent="0.2">
      <c r="A342">
        <v>131</v>
      </c>
      <c r="B342">
        <v>0</v>
      </c>
      <c r="C342" s="2">
        <v>0.57297449365773701</v>
      </c>
      <c r="D342" s="2">
        <v>0.42702550634226299</v>
      </c>
      <c r="E342">
        <v>0</v>
      </c>
      <c r="F342" s="7">
        <f>IF(AND(Table1[[#This Row],[Predicted Outcome]]=1,Table1[[#This Row],[Actual Outcome]]=1),1,0)</f>
        <v>0</v>
      </c>
      <c r="G342" cm="1">
        <f t="array" ref="G342">_xlfn.XLOOKUP(MAX(IF(Table2[Probability_Default]&lt;Table1[[#This Row],[Probability_Default]],Table2[Probability_Default])),Table2[Probability_Default],Table2[Decile],0)</f>
        <v>1</v>
      </c>
    </row>
    <row r="343" spans="1:7" x14ac:dyDescent="0.2">
      <c r="A343">
        <v>327</v>
      </c>
      <c r="B343">
        <v>1</v>
      </c>
      <c r="C343" s="2">
        <v>0.57363821820748795</v>
      </c>
      <c r="D343" s="2">
        <v>0.426361781792512</v>
      </c>
      <c r="E343">
        <v>0</v>
      </c>
      <c r="F343" s="7">
        <f>IF(AND(Table1[[#This Row],[Predicted Outcome]]=1,Table1[[#This Row],[Actual Outcome]]=1),1,0)</f>
        <v>0</v>
      </c>
      <c r="G343" cm="1">
        <f t="array" ref="G343">_xlfn.XLOOKUP(MAX(IF(Table2[Probability_Default]&lt;Table1[[#This Row],[Probability_Default]],Table2[Probability_Default])),Table2[Probability_Default],Table2[Decile],0)</f>
        <v>1</v>
      </c>
    </row>
    <row r="344" spans="1:7" x14ac:dyDescent="0.2">
      <c r="A344">
        <v>282</v>
      </c>
      <c r="B344">
        <v>0</v>
      </c>
      <c r="C344" s="2">
        <v>0.581315980488193</v>
      </c>
      <c r="D344" s="2">
        <v>0.418684019511806</v>
      </c>
      <c r="E344">
        <v>0</v>
      </c>
      <c r="F344" s="7">
        <f>IF(AND(Table1[[#This Row],[Predicted Outcome]]=1,Table1[[#This Row],[Actual Outcome]]=1),1,0)</f>
        <v>0</v>
      </c>
      <c r="G344" cm="1">
        <f t="array" ref="G344">_xlfn.XLOOKUP(MAX(IF(Table2[Probability_Default]&lt;Table1[[#This Row],[Probability_Default]],Table2[Probability_Default])),Table2[Probability_Default],Table2[Decile],0)</f>
        <v>1</v>
      </c>
    </row>
    <row r="345" spans="1:7" x14ac:dyDescent="0.2">
      <c r="A345">
        <v>211</v>
      </c>
      <c r="B345">
        <v>0</v>
      </c>
      <c r="C345" s="2">
        <v>0.58372538605829905</v>
      </c>
      <c r="D345" s="2">
        <v>0.41627461394170001</v>
      </c>
      <c r="E345">
        <v>0</v>
      </c>
      <c r="F345" s="7">
        <f>IF(AND(Table1[[#This Row],[Predicted Outcome]]=1,Table1[[#This Row],[Actual Outcome]]=1),1,0)</f>
        <v>0</v>
      </c>
      <c r="G345" cm="1">
        <f t="array" ref="G345">_xlfn.XLOOKUP(MAX(IF(Table2[Probability_Default]&lt;Table1[[#This Row],[Probability_Default]],Table2[Probability_Default])),Table2[Probability_Default],Table2[Decile],0)</f>
        <v>1</v>
      </c>
    </row>
    <row r="346" spans="1:7" x14ac:dyDescent="0.2">
      <c r="A346">
        <v>56</v>
      </c>
      <c r="B346">
        <v>0</v>
      </c>
      <c r="C346" s="2">
        <v>0.58668245911982098</v>
      </c>
      <c r="D346" s="2">
        <v>0.41331754088017802</v>
      </c>
      <c r="E346">
        <v>0</v>
      </c>
      <c r="F346" s="7">
        <f>IF(AND(Table1[[#This Row],[Predicted Outcome]]=1,Table1[[#This Row],[Actual Outcome]]=1),1,0)</f>
        <v>0</v>
      </c>
      <c r="G346" cm="1">
        <f t="array" ref="G346">_xlfn.XLOOKUP(MAX(IF(Table2[Probability_Default]&lt;Table1[[#This Row],[Probability_Default]],Table2[Probability_Default])),Table2[Probability_Default],Table2[Decile],0)</f>
        <v>1</v>
      </c>
    </row>
    <row r="347" spans="1:7" x14ac:dyDescent="0.2">
      <c r="A347">
        <v>32</v>
      </c>
      <c r="B347">
        <v>0</v>
      </c>
      <c r="C347" s="2">
        <v>0.58764472458003303</v>
      </c>
      <c r="D347" s="2">
        <v>0.41235527541996603</v>
      </c>
      <c r="E347">
        <v>0</v>
      </c>
      <c r="F347" s="7">
        <f>IF(AND(Table1[[#This Row],[Predicted Outcome]]=1,Table1[[#This Row],[Actual Outcome]]=1),1,0)</f>
        <v>0</v>
      </c>
      <c r="G347" cm="1">
        <f t="array" ref="G347">_xlfn.XLOOKUP(MAX(IF(Table2[Probability_Default]&lt;Table1[[#This Row],[Probability_Default]],Table2[Probability_Default])),Table2[Probability_Default],Table2[Decile],0)</f>
        <v>1</v>
      </c>
    </row>
    <row r="348" spans="1:7" x14ac:dyDescent="0.2">
      <c r="A348">
        <v>269</v>
      </c>
      <c r="B348">
        <v>0</v>
      </c>
      <c r="C348" s="2">
        <v>0.58857271255664101</v>
      </c>
      <c r="D348" s="2">
        <v>0.41142728744335799</v>
      </c>
      <c r="E348">
        <v>0</v>
      </c>
      <c r="F348" s="7">
        <f>IF(AND(Table1[[#This Row],[Predicted Outcome]]=1,Table1[[#This Row],[Actual Outcome]]=1),1,0)</f>
        <v>0</v>
      </c>
      <c r="G348" cm="1">
        <f t="array" ref="G348">_xlfn.XLOOKUP(MAX(IF(Table2[Probability_Default]&lt;Table1[[#This Row],[Probability_Default]],Table2[Probability_Default])),Table2[Probability_Default],Table2[Decile],0)</f>
        <v>1</v>
      </c>
    </row>
    <row r="349" spans="1:7" x14ac:dyDescent="0.2">
      <c r="A349">
        <v>365</v>
      </c>
      <c r="B349">
        <v>0</v>
      </c>
      <c r="C349" s="2">
        <v>0.59699831635998601</v>
      </c>
      <c r="D349" s="2">
        <v>0.40300168364001299</v>
      </c>
      <c r="E349">
        <v>0</v>
      </c>
      <c r="F349" s="7">
        <f>IF(AND(Table1[[#This Row],[Predicted Outcome]]=1,Table1[[#This Row],[Actual Outcome]]=1),1,0)</f>
        <v>0</v>
      </c>
      <c r="G349" cm="1">
        <f t="array" ref="G349">_xlfn.XLOOKUP(MAX(IF(Table2[Probability_Default]&lt;Table1[[#This Row],[Probability_Default]],Table2[Probability_Default])),Table2[Probability_Default],Table2[Decile],0)</f>
        <v>1</v>
      </c>
    </row>
    <row r="350" spans="1:7" x14ac:dyDescent="0.2">
      <c r="A350">
        <v>233</v>
      </c>
      <c r="B350">
        <v>1</v>
      </c>
      <c r="C350" s="2">
        <v>0.59835038011520503</v>
      </c>
      <c r="D350" s="2">
        <v>0.40164961988479497</v>
      </c>
      <c r="E350">
        <v>0</v>
      </c>
      <c r="F350" s="7">
        <f>IF(AND(Table1[[#This Row],[Predicted Outcome]]=1,Table1[[#This Row],[Actual Outcome]]=1),1,0)</f>
        <v>0</v>
      </c>
      <c r="G350" cm="1">
        <f t="array" ref="G350">_xlfn.XLOOKUP(MAX(IF(Table2[Probability_Default]&lt;Table1[[#This Row],[Probability_Default]],Table2[Probability_Default])),Table2[Probability_Default],Table2[Decile],0)</f>
        <v>1</v>
      </c>
    </row>
    <row r="351" spans="1:7" x14ac:dyDescent="0.2">
      <c r="A351">
        <v>263</v>
      </c>
      <c r="B351">
        <v>0</v>
      </c>
      <c r="C351" s="2">
        <v>0.60165637151364404</v>
      </c>
      <c r="D351" s="2">
        <v>0.39834362848635502</v>
      </c>
      <c r="E351">
        <v>0</v>
      </c>
      <c r="F351" s="7">
        <f>IF(AND(Table1[[#This Row],[Predicted Outcome]]=1,Table1[[#This Row],[Actual Outcome]]=1),1,0)</f>
        <v>0</v>
      </c>
      <c r="G351" cm="1">
        <f t="array" ref="G351">_xlfn.XLOOKUP(MAX(IF(Table2[Probability_Default]&lt;Table1[[#This Row],[Probability_Default]],Table2[Probability_Default])),Table2[Probability_Default],Table2[Decile],0)</f>
        <v>1</v>
      </c>
    </row>
    <row r="352" spans="1:7" x14ac:dyDescent="0.2">
      <c r="A352">
        <v>161</v>
      </c>
      <c r="B352">
        <v>0</v>
      </c>
      <c r="C352" s="2">
        <v>0.60562783860859004</v>
      </c>
      <c r="D352" s="2">
        <v>0.39437216139140902</v>
      </c>
      <c r="E352">
        <v>0</v>
      </c>
      <c r="F352" s="7">
        <f>IF(AND(Table1[[#This Row],[Predicted Outcome]]=1,Table1[[#This Row],[Actual Outcome]]=1),1,0)</f>
        <v>0</v>
      </c>
      <c r="G352" cm="1">
        <f t="array" ref="G352">_xlfn.XLOOKUP(MAX(IF(Table2[Probability_Default]&lt;Table1[[#This Row],[Probability_Default]],Table2[Probability_Default])),Table2[Probability_Default],Table2[Decile],0)</f>
        <v>1</v>
      </c>
    </row>
    <row r="353" spans="1:7" x14ac:dyDescent="0.2">
      <c r="A353">
        <v>399</v>
      </c>
      <c r="B353">
        <v>0</v>
      </c>
      <c r="C353" s="2">
        <v>0.61225365250215802</v>
      </c>
      <c r="D353" s="2">
        <v>0.38774634749784098</v>
      </c>
      <c r="E353">
        <v>0</v>
      </c>
      <c r="F353" s="7">
        <f>IF(AND(Table1[[#This Row],[Predicted Outcome]]=1,Table1[[#This Row],[Actual Outcome]]=1),1,0)</f>
        <v>0</v>
      </c>
      <c r="G353" cm="1">
        <f t="array" ref="G353">_xlfn.XLOOKUP(MAX(IF(Table2[Probability_Default]&lt;Table1[[#This Row],[Probability_Default]],Table2[Probability_Default])),Table2[Probability_Default],Table2[Decile],0)</f>
        <v>1</v>
      </c>
    </row>
    <row r="354" spans="1:7" x14ac:dyDescent="0.2">
      <c r="A354">
        <v>97</v>
      </c>
      <c r="B354">
        <v>0</v>
      </c>
      <c r="C354" s="2">
        <v>0.61727408366533698</v>
      </c>
      <c r="D354" s="2">
        <v>0.38272591633466202</v>
      </c>
      <c r="E354">
        <v>0</v>
      </c>
      <c r="F354" s="7">
        <f>IF(AND(Table1[[#This Row],[Predicted Outcome]]=1,Table1[[#This Row],[Actual Outcome]]=1),1,0)</f>
        <v>0</v>
      </c>
      <c r="G354" cm="1">
        <f t="array" ref="G354">_xlfn.XLOOKUP(MAX(IF(Table2[Probability_Default]&lt;Table1[[#This Row],[Probability_Default]],Table2[Probability_Default])),Table2[Probability_Default],Table2[Decile],0)</f>
        <v>1</v>
      </c>
    </row>
    <row r="355" spans="1:7" x14ac:dyDescent="0.2">
      <c r="A355">
        <v>329</v>
      </c>
      <c r="B355">
        <v>0</v>
      </c>
      <c r="C355" s="2">
        <v>0.61796354702745404</v>
      </c>
      <c r="D355" s="2">
        <v>0.38203645297254502</v>
      </c>
      <c r="E355">
        <v>0</v>
      </c>
      <c r="F355" s="7">
        <f>IF(AND(Table1[[#This Row],[Predicted Outcome]]=1,Table1[[#This Row],[Actual Outcome]]=1),1,0)</f>
        <v>0</v>
      </c>
      <c r="G355" cm="1">
        <f t="array" ref="G355">_xlfn.XLOOKUP(MAX(IF(Table2[Probability_Default]&lt;Table1[[#This Row],[Probability_Default]],Table2[Probability_Default])),Table2[Probability_Default],Table2[Decile],0)</f>
        <v>1</v>
      </c>
    </row>
    <row r="356" spans="1:7" x14ac:dyDescent="0.2">
      <c r="A356">
        <v>171</v>
      </c>
      <c r="B356">
        <v>0</v>
      </c>
      <c r="C356" s="2">
        <v>0.61914961331369101</v>
      </c>
      <c r="D356" s="2">
        <v>0.380850386686308</v>
      </c>
      <c r="E356">
        <v>0</v>
      </c>
      <c r="F356" s="7">
        <f>IF(AND(Table1[[#This Row],[Predicted Outcome]]=1,Table1[[#This Row],[Actual Outcome]]=1),1,0)</f>
        <v>0</v>
      </c>
      <c r="G356" cm="1">
        <f t="array" ref="G356">_xlfn.XLOOKUP(MAX(IF(Table2[Probability_Default]&lt;Table1[[#This Row],[Probability_Default]],Table2[Probability_Default])),Table2[Probability_Default],Table2[Decile],0)</f>
        <v>1</v>
      </c>
    </row>
    <row r="357" spans="1:7" x14ac:dyDescent="0.2">
      <c r="A357">
        <v>41</v>
      </c>
      <c r="B357">
        <v>0</v>
      </c>
      <c r="C357" s="2">
        <v>0.62488082507515696</v>
      </c>
      <c r="D357" s="2">
        <v>0.37511917492484198</v>
      </c>
      <c r="E357">
        <v>0</v>
      </c>
      <c r="F357" s="7">
        <f>IF(AND(Table1[[#This Row],[Predicted Outcome]]=1,Table1[[#This Row],[Actual Outcome]]=1),1,0)</f>
        <v>0</v>
      </c>
      <c r="G357" cm="1">
        <f t="array" ref="G357">_xlfn.XLOOKUP(MAX(IF(Table2[Probability_Default]&lt;Table1[[#This Row],[Probability_Default]],Table2[Probability_Default])),Table2[Probability_Default],Table2[Decile],0)</f>
        <v>1</v>
      </c>
    </row>
    <row r="358" spans="1:7" x14ac:dyDescent="0.2">
      <c r="A358">
        <v>389</v>
      </c>
      <c r="B358">
        <v>0</v>
      </c>
      <c r="C358" s="2">
        <v>0.62624388458754698</v>
      </c>
      <c r="D358" s="2">
        <v>0.37375611541245202</v>
      </c>
      <c r="E358">
        <v>0</v>
      </c>
      <c r="F358" s="7">
        <f>IF(AND(Table1[[#This Row],[Predicted Outcome]]=1,Table1[[#This Row],[Actual Outcome]]=1),1,0)</f>
        <v>0</v>
      </c>
      <c r="G358" cm="1">
        <f t="array" ref="G358">_xlfn.XLOOKUP(MAX(IF(Table2[Probability_Default]&lt;Table1[[#This Row],[Probability_Default]],Table2[Probability_Default])),Table2[Probability_Default],Table2[Decile],0)</f>
        <v>1</v>
      </c>
    </row>
    <row r="359" spans="1:7" x14ac:dyDescent="0.2">
      <c r="A359">
        <v>3</v>
      </c>
      <c r="B359">
        <v>0</v>
      </c>
      <c r="C359" s="2">
        <v>0.62976815584399404</v>
      </c>
      <c r="D359" s="2">
        <v>0.37023184415600502</v>
      </c>
      <c r="E359">
        <v>0</v>
      </c>
      <c r="F359" s="7">
        <f>IF(AND(Table1[[#This Row],[Predicted Outcome]]=1,Table1[[#This Row],[Actual Outcome]]=1),1,0)</f>
        <v>0</v>
      </c>
      <c r="G359" cm="1">
        <f t="array" ref="G359">_xlfn.XLOOKUP(MAX(IF(Table2[Probability_Default]&lt;Table1[[#This Row],[Probability_Default]],Table2[Probability_Default])),Table2[Probability_Default],Table2[Decile],0)</f>
        <v>1</v>
      </c>
    </row>
    <row r="360" spans="1:7" x14ac:dyDescent="0.2">
      <c r="A360">
        <v>267</v>
      </c>
      <c r="B360">
        <v>1</v>
      </c>
      <c r="C360" s="2">
        <v>0.63542216780036598</v>
      </c>
      <c r="D360" s="2">
        <v>0.36457783219963302</v>
      </c>
      <c r="E360">
        <v>0</v>
      </c>
      <c r="F360" s="7">
        <f>IF(AND(Table1[[#This Row],[Predicted Outcome]]=1,Table1[[#This Row],[Actual Outcome]]=1),1,0)</f>
        <v>0</v>
      </c>
      <c r="G360" cm="1">
        <f t="array" ref="G360">_xlfn.XLOOKUP(MAX(IF(Table2[Probability_Default]&lt;Table1[[#This Row],[Probability_Default]],Table2[Probability_Default])),Table2[Probability_Default],Table2[Decile],0)</f>
        <v>1</v>
      </c>
    </row>
    <row r="361" spans="1:7" x14ac:dyDescent="0.2">
      <c r="A361">
        <v>21</v>
      </c>
      <c r="B361">
        <v>0</v>
      </c>
      <c r="C361" s="2">
        <v>0.64118633775858003</v>
      </c>
      <c r="D361" s="2">
        <v>0.35881366224141897</v>
      </c>
      <c r="E361">
        <v>0</v>
      </c>
      <c r="F361" s="7">
        <f>IF(AND(Table1[[#This Row],[Predicted Outcome]]=1,Table1[[#This Row],[Actual Outcome]]=1),1,0)</f>
        <v>0</v>
      </c>
      <c r="G361" cm="1">
        <f t="array" ref="G361">_xlfn.XLOOKUP(MAX(IF(Table2[Probability_Default]&lt;Table1[[#This Row],[Probability_Default]],Table2[Probability_Default])),Table2[Probability_Default],Table2[Decile],0)</f>
        <v>1</v>
      </c>
    </row>
    <row r="362" spans="1:7" x14ac:dyDescent="0.2">
      <c r="A362">
        <v>307</v>
      </c>
      <c r="B362">
        <v>0</v>
      </c>
      <c r="C362" s="2">
        <v>0.65194753076888401</v>
      </c>
      <c r="D362" s="2">
        <v>0.34805246923111499</v>
      </c>
      <c r="E362">
        <v>0</v>
      </c>
      <c r="F362" s="7">
        <f>IF(AND(Table1[[#This Row],[Predicted Outcome]]=1,Table1[[#This Row],[Actual Outcome]]=1),1,0)</f>
        <v>0</v>
      </c>
      <c r="G362" cm="1">
        <f t="array" ref="G362">_xlfn.XLOOKUP(MAX(IF(Table2[Probability_Default]&lt;Table1[[#This Row],[Probability_Default]],Table2[Probability_Default])),Table2[Probability_Default],Table2[Decile],0)</f>
        <v>0</v>
      </c>
    </row>
    <row r="363" spans="1:7" x14ac:dyDescent="0.2">
      <c r="A363">
        <v>288</v>
      </c>
      <c r="B363">
        <v>0</v>
      </c>
      <c r="C363" s="2">
        <v>0.65339672797952197</v>
      </c>
      <c r="D363" s="2">
        <v>0.34660327202047703</v>
      </c>
      <c r="E363">
        <v>0</v>
      </c>
      <c r="F363" s="7">
        <f>IF(AND(Table1[[#This Row],[Predicted Outcome]]=1,Table1[[#This Row],[Actual Outcome]]=1),1,0)</f>
        <v>0</v>
      </c>
      <c r="G363" cm="1">
        <f t="array" ref="G363">_xlfn.XLOOKUP(MAX(IF(Table2[Probability_Default]&lt;Table1[[#This Row],[Probability_Default]],Table2[Probability_Default])),Table2[Probability_Default],Table2[Decile],0)</f>
        <v>0</v>
      </c>
    </row>
    <row r="364" spans="1:7" x14ac:dyDescent="0.2">
      <c r="A364">
        <v>273</v>
      </c>
      <c r="B364">
        <v>1</v>
      </c>
      <c r="C364" s="2">
        <v>0.65647768033153198</v>
      </c>
      <c r="D364" s="2">
        <v>0.34352231966846702</v>
      </c>
      <c r="E364">
        <v>0</v>
      </c>
      <c r="F364" s="7">
        <f>IF(AND(Table1[[#This Row],[Predicted Outcome]]=1,Table1[[#This Row],[Actual Outcome]]=1),1,0)</f>
        <v>0</v>
      </c>
      <c r="G364" cm="1">
        <f t="array" ref="G364">_xlfn.XLOOKUP(MAX(IF(Table2[Probability_Default]&lt;Table1[[#This Row],[Probability_Default]],Table2[Probability_Default])),Table2[Probability_Default],Table2[Decile],0)</f>
        <v>0</v>
      </c>
    </row>
    <row r="365" spans="1:7" x14ac:dyDescent="0.2">
      <c r="A365">
        <v>149</v>
      </c>
      <c r="B365">
        <v>0</v>
      </c>
      <c r="C365" s="2">
        <v>0.65950496640613998</v>
      </c>
      <c r="D365" s="2">
        <v>0.34049503359385902</v>
      </c>
      <c r="E365">
        <v>0</v>
      </c>
      <c r="F365" s="7">
        <f>IF(AND(Table1[[#This Row],[Predicted Outcome]]=1,Table1[[#This Row],[Actual Outcome]]=1),1,0)</f>
        <v>0</v>
      </c>
      <c r="G365" cm="1">
        <f t="array" ref="G365">_xlfn.XLOOKUP(MAX(IF(Table2[Probability_Default]&lt;Table1[[#This Row],[Probability_Default]],Table2[Probability_Default])),Table2[Probability_Default],Table2[Decile],0)</f>
        <v>0</v>
      </c>
    </row>
    <row r="366" spans="1:7" x14ac:dyDescent="0.2">
      <c r="A366">
        <v>64</v>
      </c>
      <c r="B366">
        <v>1</v>
      </c>
      <c r="C366" s="2">
        <v>0.65975580911763299</v>
      </c>
      <c r="D366" s="2">
        <v>0.34024419088236602</v>
      </c>
      <c r="E366">
        <v>0</v>
      </c>
      <c r="F366" s="7">
        <f>IF(AND(Table1[[#This Row],[Predicted Outcome]]=1,Table1[[#This Row],[Actual Outcome]]=1),1,0)</f>
        <v>0</v>
      </c>
      <c r="G366" cm="1">
        <f t="array" ref="G366">_xlfn.XLOOKUP(MAX(IF(Table2[Probability_Default]&lt;Table1[[#This Row],[Probability_Default]],Table2[Probability_Default])),Table2[Probability_Default],Table2[Decile],0)</f>
        <v>0</v>
      </c>
    </row>
    <row r="367" spans="1:7" x14ac:dyDescent="0.2">
      <c r="A367">
        <v>143</v>
      </c>
      <c r="B367">
        <v>0</v>
      </c>
      <c r="C367" s="2">
        <v>0.66650289179223299</v>
      </c>
      <c r="D367" s="2">
        <v>0.33349710820776601</v>
      </c>
      <c r="E367">
        <v>0</v>
      </c>
      <c r="F367" s="7">
        <f>IF(AND(Table1[[#This Row],[Predicted Outcome]]=1,Table1[[#This Row],[Actual Outcome]]=1),1,0)</f>
        <v>0</v>
      </c>
      <c r="G367" cm="1">
        <f t="array" ref="G367">_xlfn.XLOOKUP(MAX(IF(Table2[Probability_Default]&lt;Table1[[#This Row],[Probability_Default]],Table2[Probability_Default])),Table2[Probability_Default],Table2[Decile],0)</f>
        <v>0</v>
      </c>
    </row>
    <row r="368" spans="1:7" x14ac:dyDescent="0.2">
      <c r="A368">
        <v>57</v>
      </c>
      <c r="B368">
        <v>0</v>
      </c>
      <c r="C368" s="2">
        <v>0.66865401022957904</v>
      </c>
      <c r="D368" s="2">
        <v>0.33134598977042001</v>
      </c>
      <c r="E368">
        <v>0</v>
      </c>
      <c r="F368" s="7">
        <f>IF(AND(Table1[[#This Row],[Predicted Outcome]]=1,Table1[[#This Row],[Actual Outcome]]=1),1,0)</f>
        <v>0</v>
      </c>
      <c r="G368" cm="1">
        <f t="array" ref="G368">_xlfn.XLOOKUP(MAX(IF(Table2[Probability_Default]&lt;Table1[[#This Row],[Probability_Default]],Table2[Probability_Default])),Table2[Probability_Default],Table2[Decile],0)</f>
        <v>0</v>
      </c>
    </row>
    <row r="369" spans="1:7" x14ac:dyDescent="0.2">
      <c r="A369">
        <v>77</v>
      </c>
      <c r="B369">
        <v>0</v>
      </c>
      <c r="C369" s="2">
        <v>0.67682613641658396</v>
      </c>
      <c r="D369" s="2">
        <v>0.32317386358341499</v>
      </c>
      <c r="E369">
        <v>0</v>
      </c>
      <c r="F369" s="7">
        <f>IF(AND(Table1[[#This Row],[Predicted Outcome]]=1,Table1[[#This Row],[Actual Outcome]]=1),1,0)</f>
        <v>0</v>
      </c>
      <c r="G369" cm="1">
        <f t="array" ref="G369">_xlfn.XLOOKUP(MAX(IF(Table2[Probability_Default]&lt;Table1[[#This Row],[Probability_Default]],Table2[Probability_Default])),Table2[Probability_Default],Table2[Decile],0)</f>
        <v>0</v>
      </c>
    </row>
    <row r="370" spans="1:7" x14ac:dyDescent="0.2">
      <c r="A370">
        <v>60</v>
      </c>
      <c r="B370">
        <v>1</v>
      </c>
      <c r="C370" s="2">
        <v>0.68039890368967304</v>
      </c>
      <c r="D370" s="2">
        <v>0.31960109631032602</v>
      </c>
      <c r="E370">
        <v>0</v>
      </c>
      <c r="F370" s="7">
        <f>IF(AND(Table1[[#This Row],[Predicted Outcome]]=1,Table1[[#This Row],[Actual Outcome]]=1),1,0)</f>
        <v>0</v>
      </c>
      <c r="G370" cm="1">
        <f t="array" ref="G370">_xlfn.XLOOKUP(MAX(IF(Table2[Probability_Default]&lt;Table1[[#This Row],[Probability_Default]],Table2[Probability_Default])),Table2[Probability_Default],Table2[Decile],0)</f>
        <v>0</v>
      </c>
    </row>
    <row r="371" spans="1:7" x14ac:dyDescent="0.2">
      <c r="A371">
        <v>43</v>
      </c>
      <c r="B371">
        <v>0</v>
      </c>
      <c r="C371" s="2">
        <v>0.68414390250879997</v>
      </c>
      <c r="D371" s="2">
        <v>0.31585609749119897</v>
      </c>
      <c r="E371">
        <v>0</v>
      </c>
      <c r="F371" s="7">
        <f>IF(AND(Table1[[#This Row],[Predicted Outcome]]=1,Table1[[#This Row],[Actual Outcome]]=1),1,0)</f>
        <v>0</v>
      </c>
      <c r="G371" cm="1">
        <f t="array" ref="G371">_xlfn.XLOOKUP(MAX(IF(Table2[Probability_Default]&lt;Table1[[#This Row],[Probability_Default]],Table2[Probability_Default])),Table2[Probability_Default],Table2[Decile],0)</f>
        <v>0</v>
      </c>
    </row>
    <row r="372" spans="1:7" x14ac:dyDescent="0.2">
      <c r="A372">
        <v>46</v>
      </c>
      <c r="B372">
        <v>0</v>
      </c>
      <c r="C372" s="2">
        <v>0.68912603776733605</v>
      </c>
      <c r="D372" s="2">
        <v>0.310873962232663</v>
      </c>
      <c r="E372">
        <v>0</v>
      </c>
      <c r="F372" s="7">
        <f>IF(AND(Table1[[#This Row],[Predicted Outcome]]=1,Table1[[#This Row],[Actual Outcome]]=1),1,0)</f>
        <v>0</v>
      </c>
      <c r="G372" cm="1">
        <f t="array" ref="G372">_xlfn.XLOOKUP(MAX(IF(Table2[Probability_Default]&lt;Table1[[#This Row],[Probability_Default]],Table2[Probability_Default])),Table2[Probability_Default],Table2[Decile],0)</f>
        <v>0</v>
      </c>
    </row>
    <row r="373" spans="1:7" x14ac:dyDescent="0.2">
      <c r="A373">
        <v>164</v>
      </c>
      <c r="B373">
        <v>0</v>
      </c>
      <c r="C373" s="2">
        <v>0.69092089518739497</v>
      </c>
      <c r="D373" s="2">
        <v>0.30907910481260398</v>
      </c>
      <c r="E373">
        <v>0</v>
      </c>
      <c r="F373" s="7">
        <f>IF(AND(Table1[[#This Row],[Predicted Outcome]]=1,Table1[[#This Row],[Actual Outcome]]=1),1,0)</f>
        <v>0</v>
      </c>
      <c r="G373" cm="1">
        <f t="array" ref="G373">_xlfn.XLOOKUP(MAX(IF(Table2[Probability_Default]&lt;Table1[[#This Row],[Probability_Default]],Table2[Probability_Default])),Table2[Probability_Default],Table2[Decile],0)</f>
        <v>0</v>
      </c>
    </row>
    <row r="374" spans="1:7" x14ac:dyDescent="0.2">
      <c r="A374">
        <v>179</v>
      </c>
      <c r="B374">
        <v>0</v>
      </c>
      <c r="C374" s="2">
        <v>0.69551089254609799</v>
      </c>
      <c r="D374" s="2">
        <v>0.30448910745390101</v>
      </c>
      <c r="E374">
        <v>0</v>
      </c>
      <c r="F374" s="7">
        <f>IF(AND(Table1[[#This Row],[Predicted Outcome]]=1,Table1[[#This Row],[Actual Outcome]]=1),1,0)</f>
        <v>0</v>
      </c>
      <c r="G374" cm="1">
        <f t="array" ref="G374">_xlfn.XLOOKUP(MAX(IF(Table2[Probability_Default]&lt;Table1[[#This Row],[Probability_Default]],Table2[Probability_Default])),Table2[Probability_Default],Table2[Decile],0)</f>
        <v>0</v>
      </c>
    </row>
    <row r="375" spans="1:7" x14ac:dyDescent="0.2">
      <c r="A375">
        <v>175</v>
      </c>
      <c r="B375">
        <v>0</v>
      </c>
      <c r="C375" s="2">
        <v>0.69629452308208795</v>
      </c>
      <c r="D375" s="2">
        <v>0.303705476917911</v>
      </c>
      <c r="E375">
        <v>0</v>
      </c>
      <c r="F375" s="7">
        <f>IF(AND(Table1[[#This Row],[Predicted Outcome]]=1,Table1[[#This Row],[Actual Outcome]]=1),1,0)</f>
        <v>0</v>
      </c>
      <c r="G375" cm="1">
        <f t="array" ref="G375">_xlfn.XLOOKUP(MAX(IF(Table2[Probability_Default]&lt;Table1[[#This Row],[Probability_Default]],Table2[Probability_Default])),Table2[Probability_Default],Table2[Decile],0)</f>
        <v>0</v>
      </c>
    </row>
    <row r="376" spans="1:7" x14ac:dyDescent="0.2">
      <c r="A376">
        <v>344</v>
      </c>
      <c r="B376">
        <v>0</v>
      </c>
      <c r="C376" s="2">
        <v>0.69665244823072903</v>
      </c>
      <c r="D376" s="2">
        <v>0.30334755176926997</v>
      </c>
      <c r="E376">
        <v>0</v>
      </c>
      <c r="F376" s="7">
        <f>IF(AND(Table1[[#This Row],[Predicted Outcome]]=1,Table1[[#This Row],[Actual Outcome]]=1),1,0)</f>
        <v>0</v>
      </c>
      <c r="G376" cm="1">
        <f t="array" ref="G376">_xlfn.XLOOKUP(MAX(IF(Table2[Probability_Default]&lt;Table1[[#This Row],[Probability_Default]],Table2[Probability_Default])),Table2[Probability_Default],Table2[Decile],0)</f>
        <v>0</v>
      </c>
    </row>
    <row r="377" spans="1:7" x14ac:dyDescent="0.2">
      <c r="A377">
        <v>151</v>
      </c>
      <c r="B377">
        <v>1</v>
      </c>
      <c r="C377" s="2">
        <v>0.69769425226210302</v>
      </c>
      <c r="D377" s="2">
        <v>0.30230574773789598</v>
      </c>
      <c r="E377">
        <v>0</v>
      </c>
      <c r="F377" s="7">
        <f>IF(AND(Table1[[#This Row],[Predicted Outcome]]=1,Table1[[#This Row],[Actual Outcome]]=1),1,0)</f>
        <v>0</v>
      </c>
      <c r="G377" cm="1">
        <f t="array" ref="G377">_xlfn.XLOOKUP(MAX(IF(Table2[Probability_Default]&lt;Table1[[#This Row],[Probability_Default]],Table2[Probability_Default])),Table2[Probability_Default],Table2[Decile],0)</f>
        <v>0</v>
      </c>
    </row>
    <row r="378" spans="1:7" x14ac:dyDescent="0.2">
      <c r="A378">
        <v>374</v>
      </c>
      <c r="B378">
        <v>0</v>
      </c>
      <c r="C378" s="2">
        <v>0.69788228181596701</v>
      </c>
      <c r="D378" s="2">
        <v>0.30211771818403199</v>
      </c>
      <c r="E378">
        <v>0</v>
      </c>
      <c r="F378" s="7">
        <f>IF(AND(Table1[[#This Row],[Predicted Outcome]]=1,Table1[[#This Row],[Actual Outcome]]=1),1,0)</f>
        <v>0</v>
      </c>
      <c r="G378" cm="1">
        <f t="array" ref="G378">_xlfn.XLOOKUP(MAX(IF(Table2[Probability_Default]&lt;Table1[[#This Row],[Probability_Default]],Table2[Probability_Default])),Table2[Probability_Default],Table2[Decile],0)</f>
        <v>0</v>
      </c>
    </row>
    <row r="379" spans="1:7" x14ac:dyDescent="0.2">
      <c r="A379">
        <v>67</v>
      </c>
      <c r="B379">
        <v>0</v>
      </c>
      <c r="C379" s="2">
        <v>0.69867962252586402</v>
      </c>
      <c r="D379" s="2">
        <v>0.30132037747413498</v>
      </c>
      <c r="E379">
        <v>0</v>
      </c>
      <c r="F379" s="7">
        <f>IF(AND(Table1[[#This Row],[Predicted Outcome]]=1,Table1[[#This Row],[Actual Outcome]]=1),1,0)</f>
        <v>0</v>
      </c>
      <c r="G379" cm="1">
        <f t="array" ref="G379">_xlfn.XLOOKUP(MAX(IF(Table2[Probability_Default]&lt;Table1[[#This Row],[Probability_Default]],Table2[Probability_Default])),Table2[Probability_Default],Table2[Decile],0)</f>
        <v>0</v>
      </c>
    </row>
    <row r="380" spans="1:7" x14ac:dyDescent="0.2">
      <c r="A380">
        <v>51</v>
      </c>
      <c r="B380">
        <v>0</v>
      </c>
      <c r="C380" s="2">
        <v>0.70495768466030795</v>
      </c>
      <c r="D380" s="2">
        <v>0.295042315339691</v>
      </c>
      <c r="E380">
        <v>0</v>
      </c>
      <c r="F380" s="7">
        <f>IF(AND(Table1[[#This Row],[Predicted Outcome]]=1,Table1[[#This Row],[Actual Outcome]]=1),1,0)</f>
        <v>0</v>
      </c>
      <c r="G380" cm="1">
        <f t="array" ref="G380">_xlfn.XLOOKUP(MAX(IF(Table2[Probability_Default]&lt;Table1[[#This Row],[Probability_Default]],Table2[Probability_Default])),Table2[Probability_Default],Table2[Decile],0)</f>
        <v>0</v>
      </c>
    </row>
    <row r="381" spans="1:7" x14ac:dyDescent="0.2">
      <c r="A381">
        <v>246</v>
      </c>
      <c r="B381">
        <v>0</v>
      </c>
      <c r="C381" s="2">
        <v>0.70668992579615797</v>
      </c>
      <c r="D381" s="2">
        <v>0.29331007420384198</v>
      </c>
      <c r="E381">
        <v>0</v>
      </c>
      <c r="F381" s="7">
        <f>IF(AND(Table1[[#This Row],[Predicted Outcome]]=1,Table1[[#This Row],[Actual Outcome]]=1),1,0)</f>
        <v>0</v>
      </c>
      <c r="G381" cm="1">
        <f t="array" ref="G381">_xlfn.XLOOKUP(MAX(IF(Table2[Probability_Default]&lt;Table1[[#This Row],[Probability_Default]],Table2[Probability_Default])),Table2[Probability_Default],Table2[Decile],0)</f>
        <v>0</v>
      </c>
    </row>
    <row r="382" spans="1:7" x14ac:dyDescent="0.2">
      <c r="A382">
        <v>133</v>
      </c>
      <c r="B382">
        <v>0</v>
      </c>
      <c r="C382" s="2">
        <v>0.70820036920719098</v>
      </c>
      <c r="D382" s="2">
        <v>0.29179963079280802</v>
      </c>
      <c r="E382">
        <v>0</v>
      </c>
      <c r="F382" s="7">
        <f>IF(AND(Table1[[#This Row],[Predicted Outcome]]=1,Table1[[#This Row],[Actual Outcome]]=1),1,0)</f>
        <v>0</v>
      </c>
      <c r="G382" cm="1">
        <f t="array" ref="G382">_xlfn.XLOOKUP(MAX(IF(Table2[Probability_Default]&lt;Table1[[#This Row],[Probability_Default]],Table2[Probability_Default])),Table2[Probability_Default],Table2[Decile],0)</f>
        <v>0</v>
      </c>
    </row>
    <row r="383" spans="1:7" x14ac:dyDescent="0.2">
      <c r="A383">
        <v>62</v>
      </c>
      <c r="B383">
        <v>1</v>
      </c>
      <c r="C383" s="2">
        <v>0.70994477938834299</v>
      </c>
      <c r="D383" s="2">
        <v>0.29005522061165601</v>
      </c>
      <c r="E383">
        <v>0</v>
      </c>
      <c r="F383" s="7">
        <f>IF(AND(Table1[[#This Row],[Predicted Outcome]]=1,Table1[[#This Row],[Actual Outcome]]=1),1,0)</f>
        <v>0</v>
      </c>
      <c r="G383" cm="1">
        <f t="array" ref="G383">_xlfn.XLOOKUP(MAX(IF(Table2[Probability_Default]&lt;Table1[[#This Row],[Probability_Default]],Table2[Probability_Default])),Table2[Probability_Default],Table2[Decile],0)</f>
        <v>0</v>
      </c>
    </row>
    <row r="384" spans="1:7" x14ac:dyDescent="0.2">
      <c r="A384">
        <v>1</v>
      </c>
      <c r="B384">
        <v>1</v>
      </c>
      <c r="C384" s="2">
        <v>0.71976402939073203</v>
      </c>
      <c r="D384" s="2">
        <v>0.28023597060926703</v>
      </c>
      <c r="E384">
        <v>0</v>
      </c>
      <c r="F384" s="7">
        <f>IF(AND(Table1[[#This Row],[Predicted Outcome]]=1,Table1[[#This Row],[Actual Outcome]]=1),1,0)</f>
        <v>0</v>
      </c>
      <c r="G384" cm="1">
        <f t="array" ref="G384">_xlfn.XLOOKUP(MAX(IF(Table2[Probability_Default]&lt;Table1[[#This Row],[Probability_Default]],Table2[Probability_Default])),Table2[Probability_Default],Table2[Decile],0)</f>
        <v>0</v>
      </c>
    </row>
    <row r="385" spans="1:7" x14ac:dyDescent="0.2">
      <c r="A385">
        <v>127</v>
      </c>
      <c r="B385">
        <v>1</v>
      </c>
      <c r="C385" s="2">
        <v>0.720072153616232</v>
      </c>
      <c r="D385" s="2">
        <v>0.279927846383767</v>
      </c>
      <c r="E385">
        <v>0</v>
      </c>
      <c r="F385" s="7">
        <f>IF(AND(Table1[[#This Row],[Predicted Outcome]]=1,Table1[[#This Row],[Actual Outcome]]=1),1,0)</f>
        <v>0</v>
      </c>
      <c r="G385" cm="1">
        <f t="array" ref="G385">_xlfn.XLOOKUP(MAX(IF(Table2[Probability_Default]&lt;Table1[[#This Row],[Probability_Default]],Table2[Probability_Default])),Table2[Probability_Default],Table2[Decile],0)</f>
        <v>0</v>
      </c>
    </row>
    <row r="386" spans="1:7" x14ac:dyDescent="0.2">
      <c r="A386">
        <v>368</v>
      </c>
      <c r="B386">
        <v>0</v>
      </c>
      <c r="C386" s="2">
        <v>0.72274873403993301</v>
      </c>
      <c r="D386" s="2">
        <v>0.277251265960066</v>
      </c>
      <c r="E386">
        <v>0</v>
      </c>
      <c r="F386" s="7">
        <f>IF(AND(Table1[[#This Row],[Predicted Outcome]]=1,Table1[[#This Row],[Actual Outcome]]=1),1,0)</f>
        <v>0</v>
      </c>
      <c r="G386" cm="1">
        <f t="array" ref="G386">_xlfn.XLOOKUP(MAX(IF(Table2[Probability_Default]&lt;Table1[[#This Row],[Probability_Default]],Table2[Probability_Default])),Table2[Probability_Default],Table2[Decile],0)</f>
        <v>0</v>
      </c>
    </row>
    <row r="387" spans="1:7" x14ac:dyDescent="0.2">
      <c r="A387">
        <v>264</v>
      </c>
      <c r="B387">
        <v>0</v>
      </c>
      <c r="C387" s="2">
        <v>0.72339284582967001</v>
      </c>
      <c r="D387" s="2">
        <v>0.27660715417032899</v>
      </c>
      <c r="E387">
        <v>0</v>
      </c>
      <c r="F387" s="7">
        <f>IF(AND(Table1[[#This Row],[Predicted Outcome]]=1,Table1[[#This Row],[Actual Outcome]]=1),1,0)</f>
        <v>0</v>
      </c>
      <c r="G387" cm="1">
        <f t="array" ref="G387">_xlfn.XLOOKUP(MAX(IF(Table2[Probability_Default]&lt;Table1[[#This Row],[Probability_Default]],Table2[Probability_Default])),Table2[Probability_Default],Table2[Decile],0)</f>
        <v>0</v>
      </c>
    </row>
    <row r="388" spans="1:7" x14ac:dyDescent="0.2">
      <c r="A388">
        <v>318</v>
      </c>
      <c r="B388">
        <v>0</v>
      </c>
      <c r="C388" s="2">
        <v>0.74440235035125202</v>
      </c>
      <c r="D388" s="2">
        <v>0.25559764964874698</v>
      </c>
      <c r="E388">
        <v>0</v>
      </c>
      <c r="F388" s="7">
        <f>IF(AND(Table1[[#This Row],[Predicted Outcome]]=1,Table1[[#This Row],[Actual Outcome]]=1),1,0)</f>
        <v>0</v>
      </c>
      <c r="G388" cm="1">
        <f t="array" ref="G388">_xlfn.XLOOKUP(MAX(IF(Table2[Probability_Default]&lt;Table1[[#This Row],[Probability_Default]],Table2[Probability_Default])),Table2[Probability_Default],Table2[Decile],0)</f>
        <v>0</v>
      </c>
    </row>
    <row r="389" spans="1:7" x14ac:dyDescent="0.2">
      <c r="A389">
        <v>16</v>
      </c>
      <c r="B389">
        <v>1</v>
      </c>
      <c r="C389" s="2">
        <v>0.74606387404385499</v>
      </c>
      <c r="D389" s="2">
        <v>0.25393612595614401</v>
      </c>
      <c r="E389">
        <v>0</v>
      </c>
      <c r="F389" s="7">
        <f>IF(AND(Table1[[#This Row],[Predicted Outcome]]=1,Table1[[#This Row],[Actual Outcome]]=1),1,0)</f>
        <v>0</v>
      </c>
      <c r="G389" cm="1">
        <f t="array" ref="G389">_xlfn.XLOOKUP(MAX(IF(Table2[Probability_Default]&lt;Table1[[#This Row],[Probability_Default]],Table2[Probability_Default])),Table2[Probability_Default],Table2[Decile],0)</f>
        <v>0</v>
      </c>
    </row>
    <row r="390" spans="1:7" x14ac:dyDescent="0.2">
      <c r="A390">
        <v>181</v>
      </c>
      <c r="B390">
        <v>0</v>
      </c>
      <c r="C390" s="2">
        <v>0.75312170932141098</v>
      </c>
      <c r="D390" s="2">
        <v>0.24687829067858799</v>
      </c>
      <c r="E390">
        <v>0</v>
      </c>
      <c r="F390" s="7">
        <f>IF(AND(Table1[[#This Row],[Predicted Outcome]]=1,Table1[[#This Row],[Actual Outcome]]=1),1,0)</f>
        <v>0</v>
      </c>
      <c r="G390" cm="1">
        <f t="array" ref="G390">_xlfn.XLOOKUP(MAX(IF(Table2[Probability_Default]&lt;Table1[[#This Row],[Probability_Default]],Table2[Probability_Default])),Table2[Probability_Default],Table2[Decile],0)</f>
        <v>0</v>
      </c>
    </row>
    <row r="391" spans="1:7" x14ac:dyDescent="0.2">
      <c r="A391">
        <v>234</v>
      </c>
      <c r="B391">
        <v>0</v>
      </c>
      <c r="C391" s="2">
        <v>0.75672824354326695</v>
      </c>
      <c r="D391" s="2">
        <v>0.24327175645673199</v>
      </c>
      <c r="E391">
        <v>0</v>
      </c>
      <c r="F391" s="7">
        <f>IF(AND(Table1[[#This Row],[Predicted Outcome]]=1,Table1[[#This Row],[Actual Outcome]]=1),1,0)</f>
        <v>0</v>
      </c>
      <c r="G391" cm="1">
        <f t="array" ref="G391">_xlfn.XLOOKUP(MAX(IF(Table2[Probability_Default]&lt;Table1[[#This Row],[Probability_Default]],Table2[Probability_Default])),Table2[Probability_Default],Table2[Decile],0)</f>
        <v>0</v>
      </c>
    </row>
    <row r="392" spans="1:7" x14ac:dyDescent="0.2">
      <c r="A392">
        <v>136</v>
      </c>
      <c r="B392">
        <v>0</v>
      </c>
      <c r="C392" s="2">
        <v>0.75702518889234005</v>
      </c>
      <c r="D392" s="2">
        <v>0.24297481110765901</v>
      </c>
      <c r="E392">
        <v>0</v>
      </c>
      <c r="F392" s="7">
        <f>IF(AND(Table1[[#This Row],[Predicted Outcome]]=1,Table1[[#This Row],[Actual Outcome]]=1),1,0)</f>
        <v>0</v>
      </c>
      <c r="G392" cm="1">
        <f t="array" ref="G392">_xlfn.XLOOKUP(MAX(IF(Table2[Probability_Default]&lt;Table1[[#This Row],[Probability_Default]],Table2[Probability_Default])),Table2[Probability_Default],Table2[Decile],0)</f>
        <v>0</v>
      </c>
    </row>
    <row r="393" spans="1:7" x14ac:dyDescent="0.2">
      <c r="A393">
        <v>141</v>
      </c>
      <c r="B393">
        <v>0</v>
      </c>
      <c r="C393" s="2">
        <v>0.76025575181913996</v>
      </c>
      <c r="D393" s="2">
        <v>0.23974424818085899</v>
      </c>
      <c r="E393">
        <v>0</v>
      </c>
      <c r="F393" s="7">
        <f>IF(AND(Table1[[#This Row],[Predicted Outcome]]=1,Table1[[#This Row],[Actual Outcome]]=1),1,0)</f>
        <v>0</v>
      </c>
      <c r="G393" cm="1">
        <f t="array" ref="G393">_xlfn.XLOOKUP(MAX(IF(Table2[Probability_Default]&lt;Table1[[#This Row],[Probability_Default]],Table2[Probability_Default])),Table2[Probability_Default],Table2[Decile],0)</f>
        <v>0</v>
      </c>
    </row>
    <row r="394" spans="1:7" x14ac:dyDescent="0.2">
      <c r="A394">
        <v>105</v>
      </c>
      <c r="B394">
        <v>0</v>
      </c>
      <c r="C394" s="2">
        <v>0.76031332844253696</v>
      </c>
      <c r="D394" s="2">
        <v>0.23968667155746201</v>
      </c>
      <c r="E394">
        <v>0</v>
      </c>
      <c r="F394" s="7">
        <f>IF(AND(Table1[[#This Row],[Predicted Outcome]]=1,Table1[[#This Row],[Actual Outcome]]=1),1,0)</f>
        <v>0</v>
      </c>
      <c r="G394" cm="1">
        <f t="array" ref="G394">_xlfn.XLOOKUP(MAX(IF(Table2[Probability_Default]&lt;Table1[[#This Row],[Probability_Default]],Table2[Probability_Default])),Table2[Probability_Default],Table2[Decile],0)</f>
        <v>0</v>
      </c>
    </row>
    <row r="395" spans="1:7" x14ac:dyDescent="0.2">
      <c r="A395">
        <v>106</v>
      </c>
      <c r="B395">
        <v>0</v>
      </c>
      <c r="C395" s="2">
        <v>0.765516263403206</v>
      </c>
      <c r="D395" s="2">
        <v>0.234483736596793</v>
      </c>
      <c r="E395">
        <v>0</v>
      </c>
      <c r="F395" s="7">
        <f>IF(AND(Table1[[#This Row],[Predicted Outcome]]=1,Table1[[#This Row],[Actual Outcome]]=1),1,0)</f>
        <v>0</v>
      </c>
      <c r="G395" cm="1">
        <f t="array" ref="G395">_xlfn.XLOOKUP(MAX(IF(Table2[Probability_Default]&lt;Table1[[#This Row],[Probability_Default]],Table2[Probability_Default])),Table2[Probability_Default],Table2[Decile],0)</f>
        <v>0</v>
      </c>
    </row>
    <row r="396" spans="1:7" x14ac:dyDescent="0.2">
      <c r="A396">
        <v>356</v>
      </c>
      <c r="B396">
        <v>1</v>
      </c>
      <c r="C396" s="2">
        <v>0.76663505665523601</v>
      </c>
      <c r="D396" s="2">
        <v>0.23336494334476299</v>
      </c>
      <c r="E396">
        <v>0</v>
      </c>
      <c r="F396" s="7">
        <f>IF(AND(Table1[[#This Row],[Predicted Outcome]]=1,Table1[[#This Row],[Actual Outcome]]=1),1,0)</f>
        <v>0</v>
      </c>
      <c r="G396" cm="1">
        <f t="array" ref="G396">_xlfn.XLOOKUP(MAX(IF(Table2[Probability_Default]&lt;Table1[[#This Row],[Probability_Default]],Table2[Probability_Default])),Table2[Probability_Default],Table2[Decile],0)</f>
        <v>0</v>
      </c>
    </row>
    <row r="397" spans="1:7" x14ac:dyDescent="0.2">
      <c r="A397">
        <v>52</v>
      </c>
      <c r="B397">
        <v>0</v>
      </c>
      <c r="C397" s="2">
        <v>0.76692651002603096</v>
      </c>
      <c r="D397" s="2">
        <v>0.23307348997396801</v>
      </c>
      <c r="E397">
        <v>0</v>
      </c>
      <c r="F397" s="7">
        <f>IF(AND(Table1[[#This Row],[Predicted Outcome]]=1,Table1[[#This Row],[Actual Outcome]]=1),1,0)</f>
        <v>0</v>
      </c>
      <c r="G397" cm="1">
        <f t="array" ref="G397">_xlfn.XLOOKUP(MAX(IF(Table2[Probability_Default]&lt;Table1[[#This Row],[Probability_Default]],Table2[Probability_Default])),Table2[Probability_Default],Table2[Decile],0)</f>
        <v>0</v>
      </c>
    </row>
    <row r="398" spans="1:7" x14ac:dyDescent="0.2">
      <c r="A398">
        <v>7</v>
      </c>
      <c r="B398">
        <v>0</v>
      </c>
      <c r="C398" s="2">
        <v>0.77347535673464496</v>
      </c>
      <c r="D398" s="2">
        <v>0.22652464326535399</v>
      </c>
      <c r="E398">
        <v>0</v>
      </c>
      <c r="F398" s="7">
        <f>IF(AND(Table1[[#This Row],[Predicted Outcome]]=1,Table1[[#This Row],[Actual Outcome]]=1),1,0)</f>
        <v>0</v>
      </c>
      <c r="G398" cm="1">
        <f t="array" ref="G398">_xlfn.XLOOKUP(MAX(IF(Table2[Probability_Default]&lt;Table1[[#This Row],[Probability_Default]],Table2[Probability_Default])),Table2[Probability_Default],Table2[Decile],0)</f>
        <v>0</v>
      </c>
    </row>
    <row r="399" spans="1:7" x14ac:dyDescent="0.2">
      <c r="A399">
        <v>341</v>
      </c>
      <c r="B399">
        <v>0</v>
      </c>
      <c r="C399" s="2">
        <v>0.80794744749740299</v>
      </c>
      <c r="D399" s="2">
        <v>0.19205255250259601</v>
      </c>
      <c r="E399">
        <v>0</v>
      </c>
      <c r="F399" s="7">
        <f>IF(AND(Table1[[#This Row],[Predicted Outcome]]=1,Table1[[#This Row],[Actual Outcome]]=1),1,0)</f>
        <v>0</v>
      </c>
      <c r="G399" cm="1">
        <f t="array" ref="G399">_xlfn.XLOOKUP(MAX(IF(Table2[Probability_Default]&lt;Table1[[#This Row],[Probability_Default]],Table2[Probability_Default])),Table2[Probability_Default],Table2[Decile],0)</f>
        <v>0</v>
      </c>
    </row>
    <row r="400" spans="1:7" x14ac:dyDescent="0.2">
      <c r="A400">
        <v>330</v>
      </c>
      <c r="B400">
        <v>0</v>
      </c>
      <c r="C400" s="2">
        <v>0.82158174384212701</v>
      </c>
      <c r="D400" s="2">
        <v>0.17841825615787199</v>
      </c>
      <c r="E400">
        <v>0</v>
      </c>
      <c r="F400" s="7">
        <f>IF(AND(Table1[[#This Row],[Predicted Outcome]]=1,Table1[[#This Row],[Actual Outcome]]=1),1,0)</f>
        <v>0</v>
      </c>
      <c r="G400" cm="1">
        <f t="array" ref="G400">_xlfn.XLOOKUP(MAX(IF(Table2[Probability_Default]&lt;Table1[[#This Row],[Probability_Default]],Table2[Probability_Default])),Table2[Probability_Default],Table2[Decile],0)</f>
        <v>0</v>
      </c>
    </row>
    <row r="401" spans="1:7" x14ac:dyDescent="0.2">
      <c r="A401">
        <v>384</v>
      </c>
      <c r="B401">
        <v>0</v>
      </c>
      <c r="C401" s="2">
        <v>0.82503400713532005</v>
      </c>
      <c r="D401" s="2">
        <v>0.17496599286467901</v>
      </c>
      <c r="E401">
        <v>0</v>
      </c>
      <c r="F401" s="7">
        <f>IF(AND(Table1[[#This Row],[Predicted Outcome]]=1,Table1[[#This Row],[Actual Outcome]]=1),1,0)</f>
        <v>0</v>
      </c>
      <c r="G401" cm="1">
        <f t="array" ref="G401">_xlfn.XLOOKUP(MAX(IF(Table2[Probability_Default]&lt;Table1[[#This Row],[Probability_Default]],Table2[Probability_Default])),Table2[Probability_Default],Table2[Decile],0)</f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5A23A-1266-8748-8116-A5CD46B1865C}">
  <dimension ref="A1:F43"/>
  <sheetViews>
    <sheetView workbookViewId="0">
      <selection activeCell="A3" sqref="A3:F4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17.1640625" bestFit="1" customWidth="1"/>
    <col min="4" max="4" width="19.83203125" bestFit="1" customWidth="1"/>
    <col min="5" max="5" width="19.5" bestFit="1" customWidth="1"/>
    <col min="6" max="6" width="11" bestFit="1" customWidth="1"/>
  </cols>
  <sheetData>
    <row r="1" spans="1:6" x14ac:dyDescent="0.2">
      <c r="A1" s="1" t="s">
        <v>18</v>
      </c>
    </row>
    <row r="3" spans="1:6" x14ac:dyDescent="0.2">
      <c r="A3" t="s">
        <v>2</v>
      </c>
      <c r="B3" t="s">
        <v>9</v>
      </c>
      <c r="C3" t="s">
        <v>3</v>
      </c>
      <c r="D3" t="s">
        <v>6</v>
      </c>
      <c r="E3" t="s">
        <v>10</v>
      </c>
      <c r="F3" t="s">
        <v>5</v>
      </c>
    </row>
    <row r="4" spans="1:6" x14ac:dyDescent="0.2">
      <c r="A4">
        <v>159</v>
      </c>
      <c r="B4">
        <v>1</v>
      </c>
      <c r="C4">
        <v>0.52415741302443397</v>
      </c>
      <c r="D4">
        <v>0.47584258697556497</v>
      </c>
      <c r="E4">
        <v>0</v>
      </c>
      <c r="F4">
        <v>2</v>
      </c>
    </row>
    <row r="5" spans="1:6" x14ac:dyDescent="0.2">
      <c r="A5">
        <v>162</v>
      </c>
      <c r="B5">
        <v>1</v>
      </c>
      <c r="C5">
        <v>0.51899216178449803</v>
      </c>
      <c r="D5">
        <v>0.48100783821550103</v>
      </c>
      <c r="E5">
        <v>0</v>
      </c>
      <c r="F5">
        <v>2</v>
      </c>
    </row>
    <row r="6" spans="1:6" x14ac:dyDescent="0.2">
      <c r="A6">
        <v>363</v>
      </c>
      <c r="B6">
        <v>0</v>
      </c>
      <c r="C6">
        <v>0.51524994677824398</v>
      </c>
      <c r="D6">
        <v>0.48475005322175502</v>
      </c>
      <c r="E6">
        <v>0</v>
      </c>
      <c r="F6">
        <v>2</v>
      </c>
    </row>
    <row r="7" spans="1:6" x14ac:dyDescent="0.2">
      <c r="A7">
        <v>6</v>
      </c>
      <c r="B7">
        <v>1</v>
      </c>
      <c r="C7">
        <v>0.51442454871687004</v>
      </c>
      <c r="D7">
        <v>0.48557545128312901</v>
      </c>
      <c r="E7">
        <v>0</v>
      </c>
      <c r="F7">
        <v>2</v>
      </c>
    </row>
    <row r="8" spans="1:6" x14ac:dyDescent="0.2">
      <c r="A8">
        <v>108</v>
      </c>
      <c r="B8">
        <v>0</v>
      </c>
      <c r="C8">
        <v>0.51381634828274703</v>
      </c>
      <c r="D8">
        <v>0.48618365171725197</v>
      </c>
      <c r="E8">
        <v>0</v>
      </c>
      <c r="F8">
        <v>2</v>
      </c>
    </row>
    <row r="9" spans="1:6" x14ac:dyDescent="0.2">
      <c r="A9">
        <v>355</v>
      </c>
      <c r="B9">
        <v>0</v>
      </c>
      <c r="C9">
        <v>0.51089785586324499</v>
      </c>
      <c r="D9">
        <v>0.48910214413675401</v>
      </c>
      <c r="E9">
        <v>0</v>
      </c>
      <c r="F9">
        <v>2</v>
      </c>
    </row>
    <row r="10" spans="1:6" x14ac:dyDescent="0.2">
      <c r="A10">
        <v>376</v>
      </c>
      <c r="B10">
        <v>1</v>
      </c>
      <c r="C10">
        <v>0.50713081304568297</v>
      </c>
      <c r="D10">
        <v>0.49286918695431597</v>
      </c>
      <c r="E10">
        <v>0</v>
      </c>
      <c r="F10">
        <v>2</v>
      </c>
    </row>
    <row r="11" spans="1:6" x14ac:dyDescent="0.2">
      <c r="A11">
        <v>322</v>
      </c>
      <c r="B11">
        <v>0</v>
      </c>
      <c r="C11">
        <v>0.50677657054531899</v>
      </c>
      <c r="D11">
        <v>0.49322342945468001</v>
      </c>
      <c r="E11">
        <v>0</v>
      </c>
      <c r="F11">
        <v>2</v>
      </c>
    </row>
    <row r="12" spans="1:6" x14ac:dyDescent="0.2">
      <c r="A12">
        <v>210</v>
      </c>
      <c r="B12">
        <v>0</v>
      </c>
      <c r="C12">
        <v>0.50387210407711203</v>
      </c>
      <c r="D12">
        <v>0.49612789592288797</v>
      </c>
      <c r="E12">
        <v>0</v>
      </c>
      <c r="F12">
        <v>2</v>
      </c>
    </row>
    <row r="13" spans="1:6" x14ac:dyDescent="0.2">
      <c r="A13">
        <v>29</v>
      </c>
      <c r="B13">
        <v>1</v>
      </c>
      <c r="C13">
        <v>0.50151153933103498</v>
      </c>
      <c r="D13">
        <v>0.49848846066896402</v>
      </c>
      <c r="E13">
        <v>0</v>
      </c>
      <c r="F13">
        <v>2</v>
      </c>
    </row>
    <row r="14" spans="1:6" x14ac:dyDescent="0.2">
      <c r="A14">
        <v>28</v>
      </c>
      <c r="B14">
        <v>1</v>
      </c>
      <c r="C14">
        <v>0.50028208072713698</v>
      </c>
      <c r="D14">
        <v>0.49971791927286202</v>
      </c>
      <c r="E14">
        <v>0</v>
      </c>
      <c r="F14">
        <v>2</v>
      </c>
    </row>
    <row r="15" spans="1:6" x14ac:dyDescent="0.2">
      <c r="A15">
        <v>196</v>
      </c>
      <c r="B15">
        <v>1</v>
      </c>
      <c r="C15">
        <v>0.49996779850686501</v>
      </c>
      <c r="D15">
        <v>0.50003220149313399</v>
      </c>
      <c r="E15">
        <v>1</v>
      </c>
      <c r="F15">
        <v>2</v>
      </c>
    </row>
    <row r="16" spans="1:6" x14ac:dyDescent="0.2">
      <c r="A16">
        <v>18</v>
      </c>
      <c r="B16">
        <v>0</v>
      </c>
      <c r="C16">
        <v>0.49893371692821997</v>
      </c>
      <c r="D16">
        <v>0.50106628307177903</v>
      </c>
      <c r="E16">
        <v>1</v>
      </c>
      <c r="F16">
        <v>2</v>
      </c>
    </row>
    <row r="17" spans="1:6" x14ac:dyDescent="0.2">
      <c r="A17">
        <v>280</v>
      </c>
      <c r="B17">
        <v>1</v>
      </c>
      <c r="C17">
        <v>0.492064556855701</v>
      </c>
      <c r="D17">
        <v>0.50793544314429795</v>
      </c>
      <c r="E17">
        <v>1</v>
      </c>
      <c r="F17">
        <v>2</v>
      </c>
    </row>
    <row r="18" spans="1:6" x14ac:dyDescent="0.2">
      <c r="A18">
        <v>243</v>
      </c>
      <c r="B18">
        <v>1</v>
      </c>
      <c r="C18">
        <v>0.49115954554803998</v>
      </c>
      <c r="D18">
        <v>0.50884045445195902</v>
      </c>
      <c r="E18">
        <v>1</v>
      </c>
      <c r="F18">
        <v>2</v>
      </c>
    </row>
    <row r="19" spans="1:6" x14ac:dyDescent="0.2">
      <c r="A19">
        <v>98</v>
      </c>
      <c r="B19">
        <v>0</v>
      </c>
      <c r="C19">
        <v>0.48924707307172799</v>
      </c>
      <c r="D19">
        <v>0.51075292692827101</v>
      </c>
      <c r="E19">
        <v>1</v>
      </c>
      <c r="F19">
        <v>2</v>
      </c>
    </row>
    <row r="20" spans="1:6" x14ac:dyDescent="0.2">
      <c r="A20">
        <v>139</v>
      </c>
      <c r="B20">
        <v>0</v>
      </c>
      <c r="C20">
        <v>0.48579403022614398</v>
      </c>
      <c r="D20">
        <v>0.51420596977385502</v>
      </c>
      <c r="E20">
        <v>1</v>
      </c>
      <c r="F20">
        <v>2</v>
      </c>
    </row>
    <row r="21" spans="1:6" x14ac:dyDescent="0.2">
      <c r="A21">
        <v>10</v>
      </c>
      <c r="B21">
        <v>1</v>
      </c>
      <c r="C21">
        <v>0.484814554431381</v>
      </c>
      <c r="D21">
        <v>0.51518544556861801</v>
      </c>
      <c r="E21">
        <v>1</v>
      </c>
      <c r="F21">
        <v>2</v>
      </c>
    </row>
    <row r="22" spans="1:6" x14ac:dyDescent="0.2">
      <c r="A22">
        <v>178</v>
      </c>
      <c r="B22">
        <v>1</v>
      </c>
      <c r="C22">
        <v>0.48293966373122399</v>
      </c>
      <c r="D22">
        <v>0.51706033626877501</v>
      </c>
      <c r="E22">
        <v>1</v>
      </c>
      <c r="F22">
        <v>2</v>
      </c>
    </row>
    <row r="23" spans="1:6" x14ac:dyDescent="0.2">
      <c r="A23">
        <v>239</v>
      </c>
      <c r="B23">
        <v>0</v>
      </c>
      <c r="C23">
        <v>0.479211650366479</v>
      </c>
      <c r="D23">
        <v>0.52078834963352005</v>
      </c>
      <c r="E23">
        <v>1</v>
      </c>
      <c r="F23">
        <v>2</v>
      </c>
    </row>
    <row r="24" spans="1:6" x14ac:dyDescent="0.2">
      <c r="A24">
        <v>0</v>
      </c>
      <c r="B24">
        <v>1</v>
      </c>
      <c r="C24">
        <v>0.47917879496022198</v>
      </c>
      <c r="D24">
        <v>0.52082120503977702</v>
      </c>
      <c r="E24">
        <v>1</v>
      </c>
      <c r="F24">
        <v>2</v>
      </c>
    </row>
    <row r="25" spans="1:6" x14ac:dyDescent="0.2">
      <c r="A25">
        <v>279</v>
      </c>
      <c r="B25">
        <v>0</v>
      </c>
      <c r="C25">
        <v>0.47817569459750597</v>
      </c>
      <c r="D25">
        <v>0.52182430540249303</v>
      </c>
      <c r="E25">
        <v>1</v>
      </c>
      <c r="F25">
        <v>2</v>
      </c>
    </row>
    <row r="26" spans="1:6" x14ac:dyDescent="0.2">
      <c r="A26">
        <v>251</v>
      </c>
      <c r="B26">
        <v>0</v>
      </c>
      <c r="C26">
        <v>0.47736289163957002</v>
      </c>
      <c r="D26">
        <v>0.52263710836042898</v>
      </c>
      <c r="E26">
        <v>1</v>
      </c>
      <c r="F26">
        <v>2</v>
      </c>
    </row>
    <row r="27" spans="1:6" x14ac:dyDescent="0.2">
      <c r="A27">
        <v>184</v>
      </c>
      <c r="B27">
        <v>1</v>
      </c>
      <c r="C27">
        <v>0.47569637223121702</v>
      </c>
      <c r="D27">
        <v>0.52430362776878203</v>
      </c>
      <c r="E27">
        <v>1</v>
      </c>
      <c r="F27">
        <v>2</v>
      </c>
    </row>
    <row r="28" spans="1:6" x14ac:dyDescent="0.2">
      <c r="A28">
        <v>360</v>
      </c>
      <c r="B28">
        <v>1</v>
      </c>
      <c r="C28">
        <v>0.47309116483942099</v>
      </c>
      <c r="D28">
        <v>0.52690883516057796</v>
      </c>
      <c r="E28">
        <v>1</v>
      </c>
      <c r="F28">
        <v>2</v>
      </c>
    </row>
    <row r="29" spans="1:6" x14ac:dyDescent="0.2">
      <c r="A29">
        <v>180</v>
      </c>
      <c r="B29">
        <v>1</v>
      </c>
      <c r="C29">
        <v>0.46684649874114398</v>
      </c>
      <c r="D29">
        <v>0.53315350125885497</v>
      </c>
      <c r="E29">
        <v>1</v>
      </c>
      <c r="F29">
        <v>2</v>
      </c>
    </row>
    <row r="30" spans="1:6" x14ac:dyDescent="0.2">
      <c r="A30">
        <v>343</v>
      </c>
      <c r="B30">
        <v>1</v>
      </c>
      <c r="C30">
        <v>0.464936477228028</v>
      </c>
      <c r="D30">
        <v>0.535063522771971</v>
      </c>
      <c r="E30">
        <v>1</v>
      </c>
      <c r="F30">
        <v>2</v>
      </c>
    </row>
    <row r="31" spans="1:6" x14ac:dyDescent="0.2">
      <c r="A31">
        <v>236</v>
      </c>
      <c r="B31">
        <v>0</v>
      </c>
      <c r="C31">
        <v>0.46355419166759299</v>
      </c>
      <c r="D31">
        <v>0.53644580833240596</v>
      </c>
      <c r="E31">
        <v>1</v>
      </c>
      <c r="F31">
        <v>2</v>
      </c>
    </row>
    <row r="32" spans="1:6" x14ac:dyDescent="0.2">
      <c r="A32">
        <v>397</v>
      </c>
      <c r="B32">
        <v>0</v>
      </c>
      <c r="C32">
        <v>0.46133435036995002</v>
      </c>
      <c r="D32">
        <v>0.53866564963004904</v>
      </c>
      <c r="E32">
        <v>1</v>
      </c>
      <c r="F32">
        <v>2</v>
      </c>
    </row>
    <row r="33" spans="1:6" x14ac:dyDescent="0.2">
      <c r="A33">
        <v>252</v>
      </c>
      <c r="B33">
        <v>1</v>
      </c>
      <c r="C33">
        <v>0.460815389856161</v>
      </c>
      <c r="D33">
        <v>0.53918461014383801</v>
      </c>
      <c r="E33">
        <v>1</v>
      </c>
      <c r="F33">
        <v>2</v>
      </c>
    </row>
    <row r="34" spans="1:6" x14ac:dyDescent="0.2">
      <c r="A34">
        <v>315</v>
      </c>
      <c r="B34">
        <v>0</v>
      </c>
      <c r="C34">
        <v>0.460246149425933</v>
      </c>
      <c r="D34">
        <v>0.539753850574066</v>
      </c>
      <c r="E34">
        <v>1</v>
      </c>
      <c r="F34">
        <v>2</v>
      </c>
    </row>
    <row r="35" spans="1:6" x14ac:dyDescent="0.2">
      <c r="A35">
        <v>313</v>
      </c>
      <c r="B35">
        <v>0</v>
      </c>
      <c r="C35">
        <v>0.46016692119865099</v>
      </c>
      <c r="D35">
        <v>0.53983307880134801</v>
      </c>
      <c r="E35">
        <v>1</v>
      </c>
      <c r="F35">
        <v>2</v>
      </c>
    </row>
    <row r="36" spans="1:6" x14ac:dyDescent="0.2">
      <c r="A36">
        <v>342</v>
      </c>
      <c r="B36">
        <v>0</v>
      </c>
      <c r="C36">
        <v>0.45837929244292203</v>
      </c>
      <c r="D36">
        <v>0.54162070755707703</v>
      </c>
      <c r="E36">
        <v>1</v>
      </c>
      <c r="F36">
        <v>2</v>
      </c>
    </row>
    <row r="37" spans="1:6" x14ac:dyDescent="0.2">
      <c r="A37">
        <v>220</v>
      </c>
      <c r="B37">
        <v>1</v>
      </c>
      <c r="C37">
        <v>0.45580682132009398</v>
      </c>
      <c r="D37">
        <v>0.54419317867990502</v>
      </c>
      <c r="E37">
        <v>1</v>
      </c>
      <c r="F37">
        <v>2</v>
      </c>
    </row>
    <row r="38" spans="1:6" x14ac:dyDescent="0.2">
      <c r="A38">
        <v>265</v>
      </c>
      <c r="B38">
        <v>1</v>
      </c>
      <c r="C38">
        <v>0.45461313661081898</v>
      </c>
      <c r="D38">
        <v>0.54538686338917997</v>
      </c>
      <c r="E38">
        <v>1</v>
      </c>
      <c r="F38">
        <v>2</v>
      </c>
    </row>
    <row r="39" spans="1:6" x14ac:dyDescent="0.2">
      <c r="A39">
        <v>82</v>
      </c>
      <c r="B39">
        <v>1</v>
      </c>
      <c r="C39">
        <v>0.45414094314373399</v>
      </c>
      <c r="D39">
        <v>0.54585905685626501</v>
      </c>
      <c r="E39">
        <v>1</v>
      </c>
      <c r="F39">
        <v>2</v>
      </c>
    </row>
    <row r="40" spans="1:6" x14ac:dyDescent="0.2">
      <c r="A40">
        <v>390</v>
      </c>
      <c r="B40">
        <v>1</v>
      </c>
      <c r="C40">
        <v>0.44999501854929402</v>
      </c>
      <c r="D40">
        <v>0.55000498145070598</v>
      </c>
      <c r="E40">
        <v>1</v>
      </c>
      <c r="F40">
        <v>2</v>
      </c>
    </row>
    <row r="41" spans="1:6" x14ac:dyDescent="0.2">
      <c r="A41">
        <v>163</v>
      </c>
      <c r="B41">
        <v>1</v>
      </c>
      <c r="C41">
        <v>0.44501333059346398</v>
      </c>
      <c r="D41">
        <v>0.55498666940653496</v>
      </c>
      <c r="E41">
        <v>1</v>
      </c>
      <c r="F41">
        <v>2</v>
      </c>
    </row>
    <row r="42" spans="1:6" x14ac:dyDescent="0.2">
      <c r="A42">
        <v>334</v>
      </c>
      <c r="B42">
        <v>0</v>
      </c>
      <c r="C42">
        <v>0.443993155584614</v>
      </c>
      <c r="D42">
        <v>0.55600684441538495</v>
      </c>
      <c r="E42">
        <v>1</v>
      </c>
      <c r="F42">
        <v>2</v>
      </c>
    </row>
    <row r="43" spans="1:6" x14ac:dyDescent="0.2">
      <c r="A43">
        <v>328</v>
      </c>
      <c r="B43">
        <v>1</v>
      </c>
      <c r="C43">
        <v>0.43757778714511097</v>
      </c>
      <c r="D43">
        <v>0.56242221285488803</v>
      </c>
      <c r="E43">
        <v>1</v>
      </c>
      <c r="F43">
        <v>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8CD0-E7B5-6A42-9A8B-5768212B056E}">
  <dimension ref="A3:L18"/>
  <sheetViews>
    <sheetView tabSelected="1" topLeftCell="C1" workbookViewId="0">
      <selection activeCell="I29" sqref="I29"/>
    </sheetView>
  </sheetViews>
  <sheetFormatPr baseColWidth="10" defaultRowHeight="16" x14ac:dyDescent="0.2"/>
  <cols>
    <col min="1" max="1" width="10.83203125" bestFit="1" customWidth="1"/>
    <col min="2" max="2" width="17.1640625" customWidth="1"/>
    <col min="3" max="3" width="24.83203125" customWidth="1"/>
    <col min="4" max="4" width="28" customWidth="1"/>
    <col min="5" max="5" width="24.6640625" customWidth="1"/>
    <col min="6" max="6" width="20" customWidth="1"/>
    <col min="7" max="7" width="21.6640625" customWidth="1"/>
    <col min="8" max="8" width="20.33203125" customWidth="1"/>
    <col min="9" max="9" width="25.1640625" customWidth="1"/>
    <col min="10" max="10" width="24" customWidth="1"/>
    <col min="11" max="11" width="25.5" customWidth="1"/>
    <col min="12" max="12" width="26.33203125" customWidth="1"/>
    <col min="13" max="13" width="24" customWidth="1"/>
    <col min="15" max="15" width="31.5" customWidth="1"/>
  </cols>
  <sheetData>
    <row r="3" spans="1:12" x14ac:dyDescent="0.2">
      <c r="A3" s="3" t="s">
        <v>5</v>
      </c>
      <c r="B3" t="s">
        <v>8</v>
      </c>
      <c r="C3" t="s">
        <v>11</v>
      </c>
      <c r="D3" t="s">
        <v>12</v>
      </c>
      <c r="G3" t="s">
        <v>13</v>
      </c>
      <c r="H3" t="s">
        <v>15</v>
      </c>
      <c r="I3" t="s">
        <v>17</v>
      </c>
      <c r="J3" t="s">
        <v>14</v>
      </c>
      <c r="K3" t="s">
        <v>16</v>
      </c>
      <c r="L3" t="s">
        <v>20</v>
      </c>
    </row>
    <row r="4" spans="1:12" x14ac:dyDescent="0.2">
      <c r="A4" s="4">
        <v>0</v>
      </c>
      <c r="B4">
        <v>40</v>
      </c>
      <c r="C4">
        <v>9</v>
      </c>
      <c r="D4" s="5">
        <v>0.17496599286467901</v>
      </c>
      <c r="G4">
        <f t="shared" ref="G4:G13" si="0">B4-C4</f>
        <v>31</v>
      </c>
      <c r="H4">
        <f>SUM($C$4:C4)</f>
        <v>9</v>
      </c>
      <c r="I4" s="2">
        <f t="shared" ref="I4:I13" si="1">(H4)/$H$13</f>
        <v>3.4883720930232558E-2</v>
      </c>
      <c r="J4">
        <f>SUM($G$4:G4)</f>
        <v>31</v>
      </c>
      <c r="K4" s="2">
        <f t="shared" ref="K4:K13" si="2">(J4)/$J$13</f>
        <v>0.21830985915492956</v>
      </c>
      <c r="L4" s="8">
        <f>Table3[[#This Row],[Cumulative Safe Loans]]*$I$18-Table3[[#This Row],[Cumulative Defaults]]*$I$17</f>
        <v>3400</v>
      </c>
    </row>
    <row r="5" spans="1:12" x14ac:dyDescent="0.2">
      <c r="A5" s="4">
        <v>1</v>
      </c>
      <c r="B5">
        <v>40</v>
      </c>
      <c r="C5">
        <v>5</v>
      </c>
      <c r="D5" s="11">
        <v>0.35881366224141897</v>
      </c>
      <c r="G5">
        <f t="shared" si="0"/>
        <v>35</v>
      </c>
      <c r="H5">
        <f>SUM($C$4:C5)</f>
        <v>14</v>
      </c>
      <c r="I5" s="2">
        <f t="shared" si="1"/>
        <v>5.4263565891472867E-2</v>
      </c>
      <c r="J5">
        <f>SUM($G$4:G5)</f>
        <v>66</v>
      </c>
      <c r="K5" s="5">
        <f t="shared" si="2"/>
        <v>0.46478873239436619</v>
      </c>
      <c r="L5" s="9">
        <f>Table3[[#This Row],[Cumulative Safe Loans]]*$I$18-Table3[[#This Row],[Cumulative Defaults]]*$I$17</f>
        <v>12400</v>
      </c>
    </row>
    <row r="6" spans="1:12" x14ac:dyDescent="0.2">
      <c r="A6" s="4">
        <v>2</v>
      </c>
      <c r="B6">
        <v>40</v>
      </c>
      <c r="C6">
        <v>23</v>
      </c>
      <c r="D6" s="5">
        <v>0.47584258697556497</v>
      </c>
      <c r="G6">
        <f t="shared" si="0"/>
        <v>17</v>
      </c>
      <c r="H6">
        <f>SUM($C$4:C6)</f>
        <v>37</v>
      </c>
      <c r="I6" s="2">
        <f t="shared" si="1"/>
        <v>0.1434108527131783</v>
      </c>
      <c r="J6">
        <f>SUM($G$4:G6)</f>
        <v>83</v>
      </c>
      <c r="K6" s="5">
        <f t="shared" si="2"/>
        <v>0.58450704225352113</v>
      </c>
      <c r="L6" s="8">
        <f>Table3[[#This Row],[Cumulative Safe Loans]]*$I$18-Table3[[#This Row],[Cumulative Defaults]]*$I$17</f>
        <v>-3800</v>
      </c>
    </row>
    <row r="7" spans="1:12" x14ac:dyDescent="0.2">
      <c r="A7" s="4">
        <v>3</v>
      </c>
      <c r="B7">
        <v>40</v>
      </c>
      <c r="C7">
        <v>30</v>
      </c>
      <c r="D7" s="5">
        <v>0.56482777819684904</v>
      </c>
      <c r="G7">
        <f t="shared" si="0"/>
        <v>10</v>
      </c>
      <c r="H7">
        <f>SUM($C$4:C7)</f>
        <v>67</v>
      </c>
      <c r="I7" s="2">
        <f t="shared" si="1"/>
        <v>0.25968992248062017</v>
      </c>
      <c r="J7">
        <f>SUM($G$4:G7)</f>
        <v>93</v>
      </c>
      <c r="K7" s="5">
        <f t="shared" si="2"/>
        <v>0.65492957746478875</v>
      </c>
      <c r="L7" s="8">
        <f>Table3[[#This Row],[Cumulative Safe Loans]]*$I$18-Table3[[#This Row],[Cumulative Defaults]]*$I$17</f>
        <v>-29800</v>
      </c>
    </row>
    <row r="8" spans="1:12" x14ac:dyDescent="0.2">
      <c r="A8" s="4">
        <v>4</v>
      </c>
      <c r="B8">
        <v>40</v>
      </c>
      <c r="C8">
        <v>33</v>
      </c>
      <c r="D8" s="5">
        <v>0.63757566072097405</v>
      </c>
      <c r="G8">
        <f t="shared" si="0"/>
        <v>7</v>
      </c>
      <c r="H8">
        <f>SUM($C$4:C8)</f>
        <v>100</v>
      </c>
      <c r="I8" s="2">
        <f t="shared" si="1"/>
        <v>0.38759689922480622</v>
      </c>
      <c r="J8">
        <f>SUM($G$4:G8)</f>
        <v>100</v>
      </c>
      <c r="K8" s="5">
        <f t="shared" si="2"/>
        <v>0.70422535211267601</v>
      </c>
      <c r="L8" s="8">
        <f>Table3[[#This Row],[Cumulative Safe Loans]]*$I$18-Table3[[#This Row],[Cumulative Defaults]]*$I$17</f>
        <v>-60000</v>
      </c>
    </row>
    <row r="9" spans="1:12" x14ac:dyDescent="0.2">
      <c r="A9" s="4">
        <v>5</v>
      </c>
      <c r="B9">
        <v>40</v>
      </c>
      <c r="C9">
        <v>32</v>
      </c>
      <c r="D9" s="5">
        <v>0.68823276453429405</v>
      </c>
      <c r="G9">
        <f t="shared" si="0"/>
        <v>8</v>
      </c>
      <c r="H9">
        <f>SUM($C$4:C9)</f>
        <v>132</v>
      </c>
      <c r="I9" s="2">
        <f t="shared" si="1"/>
        <v>0.51162790697674421</v>
      </c>
      <c r="J9">
        <f>SUM($G$4:G9)</f>
        <v>108</v>
      </c>
      <c r="K9" s="5">
        <f t="shared" si="2"/>
        <v>0.76056338028169013</v>
      </c>
      <c r="L9" s="8">
        <f>Table3[[#This Row],[Cumulative Safe Loans]]*$I$18-Table3[[#This Row],[Cumulative Defaults]]*$I$17</f>
        <v>-88800</v>
      </c>
    </row>
    <row r="10" spans="1:12" x14ac:dyDescent="0.2">
      <c r="A10" s="4">
        <v>6</v>
      </c>
      <c r="B10">
        <v>40</v>
      </c>
      <c r="C10">
        <v>31</v>
      </c>
      <c r="D10" s="5">
        <v>0.73607145012303798</v>
      </c>
      <c r="G10">
        <f t="shared" si="0"/>
        <v>9</v>
      </c>
      <c r="H10">
        <f>SUM($C$4:C10)</f>
        <v>163</v>
      </c>
      <c r="I10" s="2">
        <f t="shared" si="1"/>
        <v>0.63178294573643412</v>
      </c>
      <c r="J10">
        <f>SUM($G$4:G10)</f>
        <v>117</v>
      </c>
      <c r="K10" s="5">
        <f t="shared" si="2"/>
        <v>0.823943661971831</v>
      </c>
      <c r="L10" s="8">
        <f>Table3[[#This Row],[Cumulative Safe Loans]]*$I$18-Table3[[#This Row],[Cumulative Defaults]]*$I$17</f>
        <v>-116200</v>
      </c>
    </row>
    <row r="11" spans="1:12" x14ac:dyDescent="0.2">
      <c r="A11" s="4">
        <v>7</v>
      </c>
      <c r="B11">
        <v>40</v>
      </c>
      <c r="C11">
        <v>33</v>
      </c>
      <c r="D11" s="5">
        <v>0.790000147675743</v>
      </c>
      <c r="G11">
        <f t="shared" si="0"/>
        <v>7</v>
      </c>
      <c r="H11">
        <f>SUM($C$4:C11)</f>
        <v>196</v>
      </c>
      <c r="I11" s="2">
        <f t="shared" si="1"/>
        <v>0.75968992248062017</v>
      </c>
      <c r="J11">
        <f>SUM($G$4:G11)</f>
        <v>124</v>
      </c>
      <c r="K11" s="5">
        <f t="shared" si="2"/>
        <v>0.87323943661971826</v>
      </c>
      <c r="L11" s="8">
        <f>Table3[[#This Row],[Cumulative Safe Loans]]*$I$18-Table3[[#This Row],[Cumulative Defaults]]*$I$17</f>
        <v>-146400</v>
      </c>
    </row>
    <row r="12" spans="1:12" x14ac:dyDescent="0.2">
      <c r="A12" s="4">
        <v>8</v>
      </c>
      <c r="B12">
        <v>40</v>
      </c>
      <c r="C12">
        <v>31</v>
      </c>
      <c r="D12" s="5">
        <v>0.84607193303260098</v>
      </c>
      <c r="G12">
        <f t="shared" si="0"/>
        <v>9</v>
      </c>
      <c r="H12">
        <f>SUM($C$4:C12)</f>
        <v>227</v>
      </c>
      <c r="I12" s="2">
        <f t="shared" si="1"/>
        <v>0.87984496124031009</v>
      </c>
      <c r="J12">
        <f>SUM($G$4:G12)</f>
        <v>133</v>
      </c>
      <c r="K12" s="5">
        <f t="shared" si="2"/>
        <v>0.93661971830985913</v>
      </c>
      <c r="L12" s="8">
        <f>Table3[[#This Row],[Cumulative Safe Loans]]*$I$18-Table3[[#This Row],[Cumulative Defaults]]*$I$17</f>
        <v>-173800</v>
      </c>
    </row>
    <row r="13" spans="1:12" x14ac:dyDescent="0.2">
      <c r="A13" s="4">
        <v>9</v>
      </c>
      <c r="B13">
        <v>40</v>
      </c>
      <c r="C13">
        <v>31</v>
      </c>
      <c r="D13" s="5">
        <v>0.88753490911426602</v>
      </c>
      <c r="G13">
        <f t="shared" si="0"/>
        <v>9</v>
      </c>
      <c r="H13">
        <f>SUM($C$4:C13)</f>
        <v>258</v>
      </c>
      <c r="I13" s="2">
        <f t="shared" si="1"/>
        <v>1</v>
      </c>
      <c r="J13">
        <f>SUM($G$4:G13)</f>
        <v>142</v>
      </c>
      <c r="K13" s="5">
        <f t="shared" si="2"/>
        <v>1</v>
      </c>
      <c r="L13" s="8">
        <f>Table3[[#This Row],[Cumulative Safe Loans]]*$I$18-Table3[[#This Row],[Cumulative Defaults]]*$I$17</f>
        <v>-201200</v>
      </c>
    </row>
    <row r="14" spans="1:12" x14ac:dyDescent="0.2">
      <c r="A14" s="4" t="s">
        <v>7</v>
      </c>
      <c r="B14">
        <v>400</v>
      </c>
      <c r="C14">
        <v>258</v>
      </c>
      <c r="D14" s="5">
        <v>0.17496599286467901</v>
      </c>
    </row>
    <row r="16" spans="1:12" x14ac:dyDescent="0.2">
      <c r="G16" s="16" t="s">
        <v>21</v>
      </c>
      <c r="H16" s="16"/>
      <c r="I16" s="16"/>
      <c r="K16" s="12" t="s">
        <v>24</v>
      </c>
      <c r="L16" s="14">
        <f>L5</f>
        <v>12400</v>
      </c>
    </row>
    <row r="17" spans="7:12" x14ac:dyDescent="0.2">
      <c r="G17" s="17" t="s">
        <v>22</v>
      </c>
      <c r="H17" s="17"/>
      <c r="I17" s="10">
        <v>1000</v>
      </c>
      <c r="K17" s="15" t="s">
        <v>25</v>
      </c>
      <c r="L17" s="13">
        <f>D5</f>
        <v>0.35881366224141897</v>
      </c>
    </row>
    <row r="18" spans="7:12" x14ac:dyDescent="0.2">
      <c r="G18" s="17" t="s">
        <v>23</v>
      </c>
      <c r="H18" s="17"/>
      <c r="I18" s="10">
        <v>400</v>
      </c>
    </row>
  </sheetData>
  <mergeCells count="3">
    <mergeCell ref="G16:I16"/>
    <mergeCell ref="G17:H17"/>
    <mergeCell ref="G18:H18"/>
  </mergeCell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raw_data</vt:lpstr>
      <vt:lpstr>cleaned_data</vt:lpstr>
      <vt:lpstr>Detail2</vt:lpstr>
      <vt:lpstr>pivot_table</vt:lpstr>
      <vt:lpstr>raw_data!results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 Lin</dc:creator>
  <cp:lastModifiedBy>Tin Lin</cp:lastModifiedBy>
  <dcterms:created xsi:type="dcterms:W3CDTF">2026-08-24T11:22:29Z</dcterms:created>
  <dcterms:modified xsi:type="dcterms:W3CDTF">2026-08-25T14:56:32Z</dcterms:modified>
</cp:coreProperties>
</file>